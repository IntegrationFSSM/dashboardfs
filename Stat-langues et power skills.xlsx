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oc S-PSSIL-2025\Statistiques\"/>
    </mc:Choice>
  </mc:AlternateContent>
  <xr:revisionPtr revIDLastSave="0" documentId="8_{0B8C3504-2135-4787-B5C1-266662878BF6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definedNames>
    <definedName name="_xlnm._FilterDatabase" localSheetId="0" hidden="1">Sheet1!$A$77:$K$106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I44" i="1"/>
  <c r="K44" i="1"/>
  <c r="F44" i="1"/>
  <c r="H43" i="1"/>
  <c r="I43" i="1"/>
  <c r="K43" i="1"/>
  <c r="F43" i="1"/>
  <c r="G106" i="1"/>
  <c r="H106" i="1"/>
  <c r="I106" i="1"/>
  <c r="J106" i="1"/>
  <c r="K106" i="1"/>
  <c r="F106" i="1"/>
  <c r="G105" i="1"/>
  <c r="H105" i="1"/>
  <c r="I105" i="1"/>
  <c r="J105" i="1"/>
  <c r="K105" i="1"/>
  <c r="F105" i="1"/>
  <c r="K73" i="1" l="1"/>
  <c r="J73" i="1"/>
  <c r="I73" i="1"/>
  <c r="H73" i="1"/>
  <c r="G73" i="1"/>
  <c r="F73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11" i="1"/>
  <c r="G44" i="1" l="1"/>
  <c r="J43" i="1"/>
  <c r="G43" i="1"/>
  <c r="J44" i="1"/>
</calcChain>
</file>

<file path=xl/sharedStrings.xml><?xml version="1.0" encoding="utf-8"?>
<sst xmlns="http://schemas.openxmlformats.org/spreadsheetml/2006/main" count="181" uniqueCount="65">
  <si>
    <t xml:space="preserve">Université </t>
  </si>
  <si>
    <t>Etablissement</t>
  </si>
  <si>
    <t>Diplôme</t>
  </si>
  <si>
    <t>Filière</t>
  </si>
  <si>
    <t>BCG S1-S2</t>
  </si>
  <si>
    <t>FSSM</t>
  </si>
  <si>
    <t>INFO S1-S2</t>
  </si>
  <si>
    <t>MIP S1-S2</t>
  </si>
  <si>
    <t>PC S1-S2</t>
  </si>
  <si>
    <t xml:space="preserve">PE 3EV </t>
  </si>
  <si>
    <t xml:space="preserve">PE AMQ </t>
  </si>
  <si>
    <t>PE ICBTP</t>
  </si>
  <si>
    <t>PE STDESS</t>
  </si>
  <si>
    <t>PE VALDEC</t>
  </si>
  <si>
    <t>BIO S3-S4</t>
  </si>
  <si>
    <t>PE</t>
  </si>
  <si>
    <t>CHI S3-S4</t>
  </si>
  <si>
    <t>GEO S3-S4</t>
  </si>
  <si>
    <t>IAP S3-S4</t>
  </si>
  <si>
    <t>MAT S3-S4</t>
  </si>
  <si>
    <t>PHY S3-S4</t>
  </si>
  <si>
    <t>INF S3-S4</t>
  </si>
  <si>
    <t>UCA</t>
  </si>
  <si>
    <t>TC S3-S4</t>
  </si>
  <si>
    <t>TC S1-S2</t>
  </si>
  <si>
    <t>S5</t>
  </si>
  <si>
    <t>S6</t>
  </si>
  <si>
    <t>Semestre</t>
  </si>
  <si>
    <t>S3</t>
  </si>
  <si>
    <t>S4</t>
  </si>
  <si>
    <t>S1</t>
  </si>
  <si>
    <t>S2</t>
  </si>
  <si>
    <t>Nombre des etudiants inscrits
 aux modules de langues</t>
  </si>
  <si>
    <t>Nombre des etudiants inscrits
 aux modules de power skills</t>
  </si>
  <si>
    <t>Garçons</t>
  </si>
  <si>
    <t>Répartition des inscriptions aux modules de langues et aux modules de power skills</t>
  </si>
  <si>
    <t>Effectif global</t>
  </si>
  <si>
    <t>Filles</t>
  </si>
  <si>
    <t>Licence</t>
  </si>
  <si>
    <t>Master</t>
  </si>
  <si>
    <t>CMI</t>
  </si>
  <si>
    <t>COSIS</t>
  </si>
  <si>
    <t>IMQ</t>
  </si>
  <si>
    <t>ISI</t>
  </si>
  <si>
    <t>SD</t>
  </si>
  <si>
    <t>SMA</t>
  </si>
  <si>
    <t>C2I2S</t>
  </si>
  <si>
    <t>EnEn</t>
  </si>
  <si>
    <t>CMOI</t>
  </si>
  <si>
    <t>IPAC</t>
  </si>
  <si>
    <t>ICPCD</t>
  </si>
  <si>
    <t>IA</t>
  </si>
  <si>
    <t>Masters Promotion 2024-2025</t>
  </si>
  <si>
    <r>
      <rPr>
        <b/>
        <sz val="20"/>
        <color theme="1"/>
        <rFont val="Calibri"/>
        <family val="2"/>
      </rPr>
      <t>Masters</t>
    </r>
    <r>
      <rPr>
        <b/>
        <sz val="14"/>
        <color theme="1"/>
        <rFont val="Calibri"/>
        <family val="2"/>
      </rPr>
      <t xml:space="preserve"> Promotion 2023-2024</t>
    </r>
  </si>
  <si>
    <t>BIOCLIMADD</t>
  </si>
  <si>
    <t>BMAG</t>
  </si>
  <si>
    <t>GARMINE</t>
  </si>
  <si>
    <t>INGVAD</t>
  </si>
  <si>
    <t>4GEO</t>
  </si>
  <si>
    <t>PAHEA2S</t>
  </si>
  <si>
    <t>Totaux</t>
  </si>
  <si>
    <t>Nombre des etudiants inscrits
 aux modules de power skills: Soft Employement</t>
  </si>
  <si>
    <t>Nombre des etudiants inscrits
 aux modules de Langues et Culture</t>
  </si>
  <si>
    <t>Totaux automne</t>
  </si>
  <si>
    <t>Totaux printemps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</si>
</sst>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36"/>
      <color rgb="FF0070C0"/>
      <name val="Times New Roman"/>
      <family val="1"/>
      <scheme val="major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8"/>
      <name val="Arial"/>
      <family val="2"/>
      <scheme val="minor"/>
    </font>
    <font>
      <b/>
      <sz val="14"/>
      <color theme="1"/>
      <name val="Calibri"/>
      <family val="2"/>
    </font>
    <font>
      <b/>
      <sz val="24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0"/>
      <color theme="1"/>
      <name val="Calibri"/>
      <family val="2"/>
    </font>
    <font>
      <b/>
      <u/>
      <sz val="28"/>
      <color rgb="FFC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rgb="FF9F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EDD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15" fillId="3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562851</xdr:colOff>
      <xdr:row>0</xdr:row>
      <xdr:rowOff>59722</xdr:rowOff>
    </xdr:from>
    <xdr:to>
      <xdr:col>6</xdr:col>
      <xdr:colOff>536466</xdr:colOff>
      <xdr:row>3</xdr:row>
      <xdr:rowOff>791150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9F5A6DD-4419-7ACC-877C-2ABAF7F6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523" y="59722"/>
          <a:ext cx="4352926" cy="1289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14"/>
  <sheetViews>
    <sheetView tabSelected="1" topLeftCell="A58" zoomScale="87" zoomScaleNormal="87" workbookViewId="0">
      <selection activeCell="P53" sqref="P53"/>
    </sheetView>
  </sheetViews>
  <sheetFormatPr baseColWidth="10" defaultColWidth="9.125" defaultRowHeight="14.25" x14ac:dyDescent="0.2"/>
  <cols>
    <col min="1" max="1" width="10.25" customWidth="1"/>
    <col min="2" max="2" width="13" customWidth="1"/>
    <col min="3" max="3" width="22.125" customWidth="1"/>
    <col min="4" max="4" width="12.75" bestFit="1" customWidth="1"/>
    <col min="5" max="5" width="9.625" customWidth="1"/>
    <col min="6" max="6" width="12.875" style="1" customWidth="1"/>
    <col min="7" max="7" width="9.375" style="1" customWidth="1"/>
    <col min="8" max="8" width="11.25" style="1" customWidth="1"/>
    <col min="9" max="9" width="14.375" style="1" customWidth="1"/>
    <col min="10" max="10" width="9.125" style="1" bestFit="1" customWidth="1"/>
    <col min="11" max="11" width="8.75" style="1" bestFit="1" customWidth="1"/>
  </cols>
  <sheetData>
    <row r="4" spans="1:11" ht="74.25" customHeight="1" x14ac:dyDescent="0.2"/>
    <row r="5" spans="1:11" ht="69" customHeight="1" x14ac:dyDescent="0.5">
      <c r="A5" s="40" t="s">
        <v>35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7" spans="1:11" ht="45" x14ac:dyDescent="0.6">
      <c r="A7" s="49" t="s">
        <v>38</v>
      </c>
      <c r="B7" s="49"/>
    </row>
    <row r="9" spans="1:11" ht="28.5" customHeight="1" x14ac:dyDescent="0.2">
      <c r="A9" s="41" t="s">
        <v>0</v>
      </c>
      <c r="B9" s="41" t="s">
        <v>1</v>
      </c>
      <c r="C9" s="41" t="s">
        <v>2</v>
      </c>
      <c r="D9" s="41" t="s">
        <v>3</v>
      </c>
      <c r="E9" s="41" t="s">
        <v>27</v>
      </c>
      <c r="F9" s="43" t="s">
        <v>32</v>
      </c>
      <c r="G9" s="44"/>
      <c r="H9" s="45"/>
      <c r="I9" s="46" t="s">
        <v>33</v>
      </c>
      <c r="J9" s="47"/>
      <c r="K9" s="48"/>
    </row>
    <row r="10" spans="1:11" ht="15.75" x14ac:dyDescent="0.2">
      <c r="A10" s="42"/>
      <c r="B10" s="42"/>
      <c r="C10" s="42"/>
      <c r="D10" s="42"/>
      <c r="E10" s="42"/>
      <c r="F10" s="30" t="s">
        <v>36</v>
      </c>
      <c r="G10" s="31" t="s">
        <v>34</v>
      </c>
      <c r="H10" s="31" t="s">
        <v>37</v>
      </c>
      <c r="I10" s="30" t="s">
        <v>36</v>
      </c>
      <c r="J10" s="31" t="s">
        <v>34</v>
      </c>
      <c r="K10" s="31" t="s">
        <v>37</v>
      </c>
    </row>
    <row r="11" spans="1:11" ht="19.5" customHeight="1" x14ac:dyDescent="0.2">
      <c r="A11" s="61" t="s">
        <v>22</v>
      </c>
      <c r="B11" s="58" t="s">
        <v>5</v>
      </c>
      <c r="C11" s="65" t="s">
        <v>15</v>
      </c>
      <c r="D11" s="35" t="s">
        <v>9</v>
      </c>
      <c r="E11" s="3" t="s">
        <v>25</v>
      </c>
      <c r="F11" s="3">
        <v>58</v>
      </c>
      <c r="G11" s="4">
        <f>F11-H11</f>
        <v>33</v>
      </c>
      <c r="H11" s="4">
        <v>25</v>
      </c>
      <c r="I11" s="3">
        <v>58</v>
      </c>
      <c r="J11" s="4">
        <f>I11-K11</f>
        <v>33</v>
      </c>
      <c r="K11" s="4">
        <v>25</v>
      </c>
    </row>
    <row r="12" spans="1:11" ht="15" x14ac:dyDescent="0.2">
      <c r="A12" s="62"/>
      <c r="B12" s="59"/>
      <c r="C12" s="65"/>
      <c r="D12" s="36"/>
      <c r="E12" s="3" t="s">
        <v>26</v>
      </c>
      <c r="F12" s="3">
        <v>57</v>
      </c>
      <c r="G12" s="4">
        <f t="shared" ref="G12:G42" si="0">F12-H12</f>
        <v>32</v>
      </c>
      <c r="H12" s="4">
        <v>25</v>
      </c>
      <c r="I12" s="3">
        <v>57</v>
      </c>
      <c r="J12" s="4">
        <f t="shared" ref="J12:J42" si="1">I12-K12</f>
        <v>32</v>
      </c>
      <c r="K12" s="4">
        <v>25</v>
      </c>
    </row>
    <row r="13" spans="1:11" ht="15" x14ac:dyDescent="0.2">
      <c r="A13" s="62"/>
      <c r="B13" s="59"/>
      <c r="C13" s="65"/>
      <c r="D13" s="35" t="s">
        <v>10</v>
      </c>
      <c r="E13" s="3" t="s">
        <v>25</v>
      </c>
      <c r="F13" s="3">
        <v>59</v>
      </c>
      <c r="G13" s="4">
        <f t="shared" si="0"/>
        <v>33</v>
      </c>
      <c r="H13" s="4">
        <v>26</v>
      </c>
      <c r="I13" s="3">
        <v>59</v>
      </c>
      <c r="J13" s="4">
        <f t="shared" si="1"/>
        <v>33</v>
      </c>
      <c r="K13" s="4">
        <v>26</v>
      </c>
    </row>
    <row r="14" spans="1:11" ht="15" x14ac:dyDescent="0.2">
      <c r="A14" s="62"/>
      <c r="B14" s="59"/>
      <c r="C14" s="65"/>
      <c r="D14" s="36"/>
      <c r="E14" s="3" t="s">
        <v>26</v>
      </c>
      <c r="F14" s="6">
        <v>59</v>
      </c>
      <c r="G14" s="4">
        <f t="shared" si="0"/>
        <v>33</v>
      </c>
      <c r="H14" s="3">
        <v>26</v>
      </c>
      <c r="I14" s="3">
        <v>59</v>
      </c>
      <c r="J14" s="4">
        <f t="shared" si="1"/>
        <v>33</v>
      </c>
      <c r="K14" s="4">
        <v>26</v>
      </c>
    </row>
    <row r="15" spans="1:11" ht="15" x14ac:dyDescent="0.2">
      <c r="A15" s="62"/>
      <c r="B15" s="59"/>
      <c r="C15" s="65"/>
      <c r="D15" s="35" t="s">
        <v>11</v>
      </c>
      <c r="E15" s="3" t="s">
        <v>25</v>
      </c>
      <c r="F15" s="6">
        <v>89</v>
      </c>
      <c r="G15" s="4">
        <f t="shared" si="0"/>
        <v>43</v>
      </c>
      <c r="H15" s="3">
        <v>46</v>
      </c>
      <c r="I15" s="3">
        <v>91</v>
      </c>
      <c r="J15" s="4">
        <f t="shared" si="1"/>
        <v>45</v>
      </c>
      <c r="K15" s="4">
        <v>46</v>
      </c>
    </row>
    <row r="16" spans="1:11" ht="15" x14ac:dyDescent="0.2">
      <c r="A16" s="62"/>
      <c r="B16" s="59"/>
      <c r="C16" s="65"/>
      <c r="D16" s="36"/>
      <c r="E16" s="3" t="s">
        <v>26</v>
      </c>
      <c r="F16" s="6">
        <v>89</v>
      </c>
      <c r="G16" s="4">
        <f t="shared" si="0"/>
        <v>43</v>
      </c>
      <c r="H16" s="3">
        <v>46</v>
      </c>
      <c r="I16" s="3">
        <v>89</v>
      </c>
      <c r="J16" s="4">
        <f t="shared" si="1"/>
        <v>43</v>
      </c>
      <c r="K16" s="4">
        <v>46</v>
      </c>
    </row>
    <row r="17" spans="1:11" ht="15" x14ac:dyDescent="0.2">
      <c r="A17" s="62"/>
      <c r="B17" s="59"/>
      <c r="C17" s="65"/>
      <c r="D17" s="35" t="s">
        <v>12</v>
      </c>
      <c r="E17" s="3" t="s">
        <v>25</v>
      </c>
      <c r="F17" s="7">
        <v>43</v>
      </c>
      <c r="G17" s="4">
        <f t="shared" si="0"/>
        <v>17</v>
      </c>
      <c r="H17" s="3">
        <v>26</v>
      </c>
      <c r="I17" s="5">
        <v>43</v>
      </c>
      <c r="J17" s="4">
        <f t="shared" si="1"/>
        <v>17</v>
      </c>
      <c r="K17" s="4">
        <v>26</v>
      </c>
    </row>
    <row r="18" spans="1:11" ht="15" x14ac:dyDescent="0.2">
      <c r="A18" s="62"/>
      <c r="B18" s="59"/>
      <c r="C18" s="65"/>
      <c r="D18" s="36"/>
      <c r="E18" s="3" t="s">
        <v>26</v>
      </c>
      <c r="F18" s="6">
        <v>43</v>
      </c>
      <c r="G18" s="4">
        <f t="shared" si="0"/>
        <v>17</v>
      </c>
      <c r="H18" s="3">
        <v>26</v>
      </c>
      <c r="I18" s="3">
        <v>43</v>
      </c>
      <c r="J18" s="4">
        <f t="shared" si="1"/>
        <v>17</v>
      </c>
      <c r="K18" s="4">
        <v>26</v>
      </c>
    </row>
    <row r="19" spans="1:11" ht="15" x14ac:dyDescent="0.2">
      <c r="A19" s="62"/>
      <c r="B19" s="59"/>
      <c r="C19" s="65"/>
      <c r="D19" s="35" t="s">
        <v>13</v>
      </c>
      <c r="E19" s="3" t="s">
        <v>25</v>
      </c>
      <c r="F19" s="6">
        <v>80</v>
      </c>
      <c r="G19" s="4">
        <f t="shared" si="0"/>
        <v>17</v>
      </c>
      <c r="H19" s="3">
        <v>63</v>
      </c>
      <c r="I19" s="3">
        <v>80</v>
      </c>
      <c r="J19" s="4">
        <f t="shared" si="1"/>
        <v>17</v>
      </c>
      <c r="K19" s="4">
        <v>63</v>
      </c>
    </row>
    <row r="20" spans="1:11" ht="15" x14ac:dyDescent="0.2">
      <c r="A20" s="62"/>
      <c r="B20" s="59"/>
      <c r="C20" s="65"/>
      <c r="D20" s="36"/>
      <c r="E20" s="3" t="s">
        <v>26</v>
      </c>
      <c r="F20" s="6">
        <v>83</v>
      </c>
      <c r="G20" s="4">
        <f t="shared" si="0"/>
        <v>20</v>
      </c>
      <c r="H20" s="3">
        <v>63</v>
      </c>
      <c r="I20" s="3">
        <v>83</v>
      </c>
      <c r="J20" s="4">
        <f t="shared" si="1"/>
        <v>20</v>
      </c>
      <c r="K20" s="4">
        <v>63</v>
      </c>
    </row>
    <row r="21" spans="1:11" ht="15" x14ac:dyDescent="0.25">
      <c r="A21" s="62"/>
      <c r="B21" s="59"/>
      <c r="C21" s="66" t="s">
        <v>23</v>
      </c>
      <c r="D21" s="38" t="s">
        <v>14</v>
      </c>
      <c r="E21" s="8" t="s">
        <v>28</v>
      </c>
      <c r="F21" s="6">
        <v>817</v>
      </c>
      <c r="G21" s="4">
        <f t="shared" si="0"/>
        <v>195</v>
      </c>
      <c r="H21" s="3">
        <v>622</v>
      </c>
      <c r="I21" s="3">
        <v>860</v>
      </c>
      <c r="J21" s="4">
        <f t="shared" si="1"/>
        <v>205</v>
      </c>
      <c r="K21" s="4">
        <v>655</v>
      </c>
    </row>
    <row r="22" spans="1:11" ht="15" x14ac:dyDescent="0.25">
      <c r="A22" s="62"/>
      <c r="B22" s="59"/>
      <c r="C22" s="67"/>
      <c r="D22" s="39"/>
      <c r="E22" s="8" t="s">
        <v>29</v>
      </c>
      <c r="F22" s="6">
        <v>916</v>
      </c>
      <c r="G22" s="4">
        <f t="shared" si="0"/>
        <v>219</v>
      </c>
      <c r="H22" s="3">
        <v>697</v>
      </c>
      <c r="I22" s="3">
        <v>749</v>
      </c>
      <c r="J22" s="4">
        <f t="shared" si="1"/>
        <v>179</v>
      </c>
      <c r="K22" s="4">
        <v>570</v>
      </c>
    </row>
    <row r="23" spans="1:11" ht="15" x14ac:dyDescent="0.25">
      <c r="A23" s="62"/>
      <c r="B23" s="59"/>
      <c r="C23" s="67"/>
      <c r="D23" s="35" t="s">
        <v>16</v>
      </c>
      <c r="E23" s="8" t="s">
        <v>28</v>
      </c>
      <c r="F23" s="6">
        <v>442</v>
      </c>
      <c r="G23" s="4">
        <f t="shared" si="0"/>
        <v>132</v>
      </c>
      <c r="H23" s="3">
        <v>310</v>
      </c>
      <c r="I23" s="3">
        <v>417</v>
      </c>
      <c r="J23" s="4">
        <f t="shared" si="1"/>
        <v>124</v>
      </c>
      <c r="K23" s="4">
        <v>293</v>
      </c>
    </row>
    <row r="24" spans="1:11" ht="15" x14ac:dyDescent="0.25">
      <c r="A24" s="62"/>
      <c r="B24" s="59"/>
      <c r="C24" s="67"/>
      <c r="D24" s="36"/>
      <c r="E24" s="8" t="s">
        <v>29</v>
      </c>
      <c r="F24" s="6">
        <v>351</v>
      </c>
      <c r="G24" s="4">
        <f t="shared" si="0"/>
        <v>105</v>
      </c>
      <c r="H24" s="3">
        <v>246</v>
      </c>
      <c r="I24" s="3">
        <v>342</v>
      </c>
      <c r="J24" s="4">
        <f t="shared" si="1"/>
        <v>102</v>
      </c>
      <c r="K24" s="4">
        <v>240</v>
      </c>
    </row>
    <row r="25" spans="1:11" ht="15" x14ac:dyDescent="0.25">
      <c r="A25" s="62"/>
      <c r="B25" s="59"/>
      <c r="C25" s="67"/>
      <c r="D25" s="35" t="s">
        <v>17</v>
      </c>
      <c r="E25" s="8" t="s">
        <v>28</v>
      </c>
      <c r="F25" s="6">
        <v>54</v>
      </c>
      <c r="G25" s="4">
        <f t="shared" si="0"/>
        <v>29</v>
      </c>
      <c r="H25" s="3">
        <v>25</v>
      </c>
      <c r="I25" s="3">
        <v>53</v>
      </c>
      <c r="J25" s="4">
        <f t="shared" si="1"/>
        <v>29</v>
      </c>
      <c r="K25" s="4">
        <v>24</v>
      </c>
    </row>
    <row r="26" spans="1:11" ht="15" x14ac:dyDescent="0.25">
      <c r="A26" s="62"/>
      <c r="B26" s="59"/>
      <c r="C26" s="67"/>
      <c r="D26" s="36"/>
      <c r="E26" s="8" t="s">
        <v>29</v>
      </c>
      <c r="F26" s="6">
        <v>50</v>
      </c>
      <c r="G26" s="4">
        <f t="shared" si="0"/>
        <v>27</v>
      </c>
      <c r="H26" s="3">
        <v>23</v>
      </c>
      <c r="I26" s="3">
        <v>29</v>
      </c>
      <c r="J26" s="4">
        <f t="shared" si="1"/>
        <v>16</v>
      </c>
      <c r="K26" s="4">
        <v>13</v>
      </c>
    </row>
    <row r="27" spans="1:11" ht="15" x14ac:dyDescent="0.25">
      <c r="A27" s="62"/>
      <c r="B27" s="59"/>
      <c r="C27" s="67"/>
      <c r="D27" s="35" t="s">
        <v>18</v>
      </c>
      <c r="E27" s="8" t="s">
        <v>28</v>
      </c>
      <c r="F27" s="6">
        <v>209</v>
      </c>
      <c r="G27" s="4">
        <f t="shared" si="0"/>
        <v>111</v>
      </c>
      <c r="H27" s="3">
        <v>98</v>
      </c>
      <c r="I27" s="3">
        <v>216</v>
      </c>
      <c r="J27" s="4">
        <f t="shared" si="1"/>
        <v>115</v>
      </c>
      <c r="K27" s="4">
        <v>101</v>
      </c>
    </row>
    <row r="28" spans="1:11" ht="15" x14ac:dyDescent="0.25">
      <c r="A28" s="62"/>
      <c r="B28" s="59"/>
      <c r="C28" s="67"/>
      <c r="D28" s="36"/>
      <c r="E28" s="8" t="s">
        <v>29</v>
      </c>
      <c r="F28" s="6">
        <v>207</v>
      </c>
      <c r="G28" s="4">
        <f t="shared" si="0"/>
        <v>110</v>
      </c>
      <c r="H28" s="3">
        <v>97</v>
      </c>
      <c r="I28" s="3">
        <v>175</v>
      </c>
      <c r="J28" s="4">
        <f t="shared" si="1"/>
        <v>93</v>
      </c>
      <c r="K28" s="4">
        <v>82</v>
      </c>
    </row>
    <row r="29" spans="1:11" ht="15" x14ac:dyDescent="0.25">
      <c r="A29" s="62"/>
      <c r="B29" s="59"/>
      <c r="C29" s="67"/>
      <c r="D29" s="35" t="s">
        <v>19</v>
      </c>
      <c r="E29" s="8" t="s">
        <v>28</v>
      </c>
      <c r="F29" s="6">
        <v>324</v>
      </c>
      <c r="G29" s="4">
        <f t="shared" si="0"/>
        <v>218</v>
      </c>
      <c r="H29" s="3">
        <v>106</v>
      </c>
      <c r="I29" s="3">
        <v>350</v>
      </c>
      <c r="J29" s="4">
        <f t="shared" si="1"/>
        <v>235</v>
      </c>
      <c r="K29" s="4">
        <v>115</v>
      </c>
    </row>
    <row r="30" spans="1:11" ht="15" x14ac:dyDescent="0.25">
      <c r="A30" s="62"/>
      <c r="B30" s="59"/>
      <c r="C30" s="67"/>
      <c r="D30" s="36"/>
      <c r="E30" s="8" t="s">
        <v>29</v>
      </c>
      <c r="F30" s="6">
        <v>294</v>
      </c>
      <c r="G30" s="4">
        <f t="shared" si="0"/>
        <v>198</v>
      </c>
      <c r="H30" s="3">
        <v>96</v>
      </c>
      <c r="I30" s="3">
        <v>198</v>
      </c>
      <c r="J30" s="4">
        <f t="shared" si="1"/>
        <v>133</v>
      </c>
      <c r="K30" s="4">
        <v>65</v>
      </c>
    </row>
    <row r="31" spans="1:11" ht="15" x14ac:dyDescent="0.25">
      <c r="A31" s="62"/>
      <c r="B31" s="59"/>
      <c r="C31" s="67"/>
      <c r="D31" s="35" t="s">
        <v>20</v>
      </c>
      <c r="E31" s="8" t="s">
        <v>28</v>
      </c>
      <c r="F31" s="6">
        <v>578</v>
      </c>
      <c r="G31" s="4">
        <f t="shared" si="0"/>
        <v>259</v>
      </c>
      <c r="H31" s="3">
        <v>319</v>
      </c>
      <c r="I31" s="3">
        <v>607</v>
      </c>
      <c r="J31" s="4">
        <f t="shared" si="1"/>
        <v>272</v>
      </c>
      <c r="K31" s="4">
        <v>335</v>
      </c>
    </row>
    <row r="32" spans="1:11" ht="15" x14ac:dyDescent="0.25">
      <c r="A32" s="62"/>
      <c r="B32" s="59"/>
      <c r="C32" s="67"/>
      <c r="D32" s="36"/>
      <c r="E32" s="8" t="s">
        <v>29</v>
      </c>
      <c r="F32" s="6">
        <v>588</v>
      </c>
      <c r="G32" s="4">
        <f t="shared" si="0"/>
        <v>264</v>
      </c>
      <c r="H32" s="3">
        <v>324</v>
      </c>
      <c r="I32" s="3">
        <v>415</v>
      </c>
      <c r="J32" s="4">
        <f t="shared" si="1"/>
        <v>186</v>
      </c>
      <c r="K32" s="4">
        <v>229</v>
      </c>
    </row>
    <row r="33" spans="1:11" ht="15" x14ac:dyDescent="0.25">
      <c r="A33" s="62"/>
      <c r="B33" s="59"/>
      <c r="C33" s="67"/>
      <c r="D33" s="35" t="s">
        <v>21</v>
      </c>
      <c r="E33" s="8" t="s">
        <v>28</v>
      </c>
      <c r="F33" s="6">
        <v>137</v>
      </c>
      <c r="G33" s="4">
        <f t="shared" si="0"/>
        <v>73</v>
      </c>
      <c r="H33" s="3">
        <v>64</v>
      </c>
      <c r="I33" s="3">
        <v>137</v>
      </c>
      <c r="J33" s="4">
        <f t="shared" si="1"/>
        <v>73</v>
      </c>
      <c r="K33" s="4">
        <v>64</v>
      </c>
    </row>
    <row r="34" spans="1:11" ht="15" x14ac:dyDescent="0.25">
      <c r="A34" s="62"/>
      <c r="B34" s="59"/>
      <c r="C34" s="68"/>
      <c r="D34" s="36"/>
      <c r="E34" s="8" t="s">
        <v>29</v>
      </c>
      <c r="F34" s="6">
        <v>136</v>
      </c>
      <c r="G34" s="4">
        <f t="shared" si="0"/>
        <v>72</v>
      </c>
      <c r="H34" s="3">
        <v>64</v>
      </c>
      <c r="I34" s="3">
        <v>136</v>
      </c>
      <c r="J34" s="4">
        <f t="shared" si="1"/>
        <v>72</v>
      </c>
      <c r="K34" s="4">
        <v>64</v>
      </c>
    </row>
    <row r="35" spans="1:11" ht="15" x14ac:dyDescent="0.25">
      <c r="A35" s="62"/>
      <c r="B35" s="59"/>
      <c r="C35" s="37" t="s">
        <v>24</v>
      </c>
      <c r="D35" s="35" t="s">
        <v>4</v>
      </c>
      <c r="E35" s="8" t="s">
        <v>30</v>
      </c>
      <c r="F35" s="6">
        <v>1847</v>
      </c>
      <c r="G35" s="4">
        <f t="shared" si="0"/>
        <v>441</v>
      </c>
      <c r="H35" s="3">
        <v>1406</v>
      </c>
      <c r="I35" s="3">
        <v>1773</v>
      </c>
      <c r="J35" s="4">
        <f t="shared" si="1"/>
        <v>423</v>
      </c>
      <c r="K35" s="4">
        <v>1350</v>
      </c>
    </row>
    <row r="36" spans="1:11" ht="15" x14ac:dyDescent="0.25">
      <c r="A36" s="62"/>
      <c r="B36" s="59"/>
      <c r="C36" s="37"/>
      <c r="D36" s="36"/>
      <c r="E36" s="8" t="s">
        <v>31</v>
      </c>
      <c r="F36" s="6">
        <v>1500</v>
      </c>
      <c r="G36" s="4">
        <f t="shared" si="0"/>
        <v>358</v>
      </c>
      <c r="H36" s="3">
        <v>1142</v>
      </c>
      <c r="I36" s="3">
        <v>1763</v>
      </c>
      <c r="J36" s="4">
        <f t="shared" si="1"/>
        <v>421</v>
      </c>
      <c r="K36" s="4">
        <v>1342</v>
      </c>
    </row>
    <row r="37" spans="1:11" ht="15" x14ac:dyDescent="0.25">
      <c r="A37" s="62"/>
      <c r="B37" s="59"/>
      <c r="C37" s="37"/>
      <c r="D37" s="35" t="s">
        <v>6</v>
      </c>
      <c r="E37" s="8" t="s">
        <v>30</v>
      </c>
      <c r="F37" s="6">
        <v>174</v>
      </c>
      <c r="G37" s="4">
        <f t="shared" si="0"/>
        <v>92</v>
      </c>
      <c r="H37" s="3">
        <v>82</v>
      </c>
      <c r="I37" s="3">
        <v>167</v>
      </c>
      <c r="J37" s="4">
        <f t="shared" si="1"/>
        <v>89</v>
      </c>
      <c r="K37" s="4">
        <v>78</v>
      </c>
    </row>
    <row r="38" spans="1:11" ht="15" x14ac:dyDescent="0.25">
      <c r="A38" s="62"/>
      <c r="B38" s="59"/>
      <c r="C38" s="37"/>
      <c r="D38" s="36"/>
      <c r="E38" s="8" t="s">
        <v>31</v>
      </c>
      <c r="F38" s="6">
        <v>170</v>
      </c>
      <c r="G38" s="4">
        <f t="shared" si="0"/>
        <v>90</v>
      </c>
      <c r="H38" s="3">
        <v>80</v>
      </c>
      <c r="I38" s="3">
        <v>186</v>
      </c>
      <c r="J38" s="4">
        <f t="shared" si="1"/>
        <v>99</v>
      </c>
      <c r="K38" s="4">
        <v>87</v>
      </c>
    </row>
    <row r="39" spans="1:11" ht="15" x14ac:dyDescent="0.25">
      <c r="A39" s="62"/>
      <c r="B39" s="59"/>
      <c r="C39" s="37"/>
      <c r="D39" s="35" t="s">
        <v>7</v>
      </c>
      <c r="E39" s="8" t="s">
        <v>30</v>
      </c>
      <c r="F39" s="9">
        <v>1213</v>
      </c>
      <c r="G39" s="4">
        <f t="shared" si="0"/>
        <v>678</v>
      </c>
      <c r="H39" s="3">
        <v>535</v>
      </c>
      <c r="I39" s="3">
        <v>1177</v>
      </c>
      <c r="J39" s="4">
        <f t="shared" si="1"/>
        <v>658</v>
      </c>
      <c r="K39" s="4">
        <v>519</v>
      </c>
    </row>
    <row r="40" spans="1:11" ht="15" x14ac:dyDescent="0.25">
      <c r="A40" s="62"/>
      <c r="B40" s="59"/>
      <c r="C40" s="37"/>
      <c r="D40" s="36"/>
      <c r="E40" s="8" t="s">
        <v>31</v>
      </c>
      <c r="F40" s="6">
        <v>985</v>
      </c>
      <c r="G40" s="4">
        <f t="shared" si="0"/>
        <v>551</v>
      </c>
      <c r="H40" s="3">
        <v>434</v>
      </c>
      <c r="I40" s="3">
        <v>1130</v>
      </c>
      <c r="J40" s="4">
        <f t="shared" si="1"/>
        <v>632</v>
      </c>
      <c r="K40" s="4">
        <v>498</v>
      </c>
    </row>
    <row r="41" spans="1:11" ht="15" x14ac:dyDescent="0.25">
      <c r="A41" s="62"/>
      <c r="B41" s="59"/>
      <c r="C41" s="37"/>
      <c r="D41" s="35" t="s">
        <v>8</v>
      </c>
      <c r="E41" s="8" t="s">
        <v>30</v>
      </c>
      <c r="F41" s="9">
        <v>889</v>
      </c>
      <c r="G41" s="4">
        <f t="shared" si="0"/>
        <v>399</v>
      </c>
      <c r="H41" s="3">
        <v>490</v>
      </c>
      <c r="I41" s="3">
        <v>839</v>
      </c>
      <c r="J41" s="4">
        <f t="shared" si="1"/>
        <v>376</v>
      </c>
      <c r="K41" s="4">
        <v>463</v>
      </c>
    </row>
    <row r="42" spans="1:11" ht="15" x14ac:dyDescent="0.25">
      <c r="A42" s="63"/>
      <c r="B42" s="60"/>
      <c r="C42" s="37"/>
      <c r="D42" s="36"/>
      <c r="E42" s="8" t="s">
        <v>31</v>
      </c>
      <c r="F42" s="6">
        <v>896</v>
      </c>
      <c r="G42" s="4">
        <f t="shared" si="0"/>
        <v>402</v>
      </c>
      <c r="H42" s="3">
        <v>494</v>
      </c>
      <c r="I42" s="3">
        <v>975</v>
      </c>
      <c r="J42" s="4">
        <f t="shared" si="1"/>
        <v>437</v>
      </c>
      <c r="K42" s="4">
        <v>538</v>
      </c>
    </row>
    <row r="43" spans="1:11" ht="23.25" x14ac:dyDescent="0.25">
      <c r="D43" s="32" t="s">
        <v>63</v>
      </c>
      <c r="E43" s="32"/>
      <c r="F43" s="25">
        <f>F11+F13+F15+F17+F19+F21+F23+F25+F27+F29+F31+F33+F35+F37+F39+F41</f>
        <v>7013</v>
      </c>
      <c r="G43" s="25">
        <f t="shared" ref="G43:K43" si="2">G11+G13+G15+G17+G19+G21+G23+G25+G27+G29+G31+G33+G35+G37+G39+G41</f>
        <v>2770</v>
      </c>
      <c r="H43" s="25">
        <f t="shared" si="2"/>
        <v>4243</v>
      </c>
      <c r="I43" s="25">
        <f t="shared" si="2"/>
        <v>6927</v>
      </c>
      <c r="J43" s="25">
        <f t="shared" si="2"/>
        <v>2744</v>
      </c>
      <c r="K43" s="25">
        <f t="shared" si="2"/>
        <v>4183</v>
      </c>
    </row>
    <row r="44" spans="1:11" ht="23.25" x14ac:dyDescent="0.25">
      <c r="D44" s="32" t="s">
        <v>64</v>
      </c>
      <c r="E44" s="32"/>
      <c r="F44" s="25">
        <f>F12+F14+F16+F18+F20+F22+F24+F26+F28+F30+F32+F34+F36+F38+F40+F42</f>
        <v>6424</v>
      </c>
      <c r="G44" s="25">
        <f t="shared" ref="G44:K44" si="3">G12+G14+G16+G18+G20+G22+G24+G26+G28+G30+G32+G34+G36+G38+G40+G42</f>
        <v>2541</v>
      </c>
      <c r="H44" s="25">
        <f t="shared" si="3"/>
        <v>3883</v>
      </c>
      <c r="I44" s="25">
        <f t="shared" si="3"/>
        <v>6429</v>
      </c>
      <c r="J44" s="25">
        <f t="shared" si="3"/>
        <v>2515</v>
      </c>
      <c r="K44" s="25">
        <f t="shared" si="3"/>
        <v>3914</v>
      </c>
    </row>
    <row r="45" spans="1:11" ht="45" x14ac:dyDescent="0.6">
      <c r="A45" s="49" t="s">
        <v>39</v>
      </c>
      <c r="B45" s="49"/>
    </row>
    <row r="47" spans="1:11" ht="53.25" customHeight="1" x14ac:dyDescent="0.2">
      <c r="A47" s="50" t="s">
        <v>0</v>
      </c>
      <c r="B47" s="50" t="s">
        <v>1</v>
      </c>
      <c r="C47" s="50" t="s">
        <v>2</v>
      </c>
      <c r="D47" s="50" t="s">
        <v>3</v>
      </c>
      <c r="E47" s="50" t="s">
        <v>27</v>
      </c>
      <c r="F47" s="52" t="s">
        <v>62</v>
      </c>
      <c r="G47" s="53"/>
      <c r="H47" s="54"/>
      <c r="I47" s="55" t="s">
        <v>61</v>
      </c>
      <c r="J47" s="56"/>
      <c r="K47" s="57"/>
    </row>
    <row r="48" spans="1:11" ht="15" thickBot="1" x14ac:dyDescent="0.25">
      <c r="A48" s="64"/>
      <c r="B48" s="64"/>
      <c r="C48" s="64"/>
      <c r="D48" s="51"/>
      <c r="E48" s="51"/>
      <c r="F48" s="26" t="s">
        <v>36</v>
      </c>
      <c r="G48" s="27" t="s">
        <v>34</v>
      </c>
      <c r="H48" s="27" t="s">
        <v>37</v>
      </c>
      <c r="I48" s="26" t="s">
        <v>36</v>
      </c>
      <c r="J48" s="27" t="s">
        <v>34</v>
      </c>
      <c r="K48" s="27" t="s">
        <v>37</v>
      </c>
    </row>
    <row r="49" spans="1:11" ht="19.5" customHeight="1" x14ac:dyDescent="0.2">
      <c r="A49" s="85" t="s">
        <v>22</v>
      </c>
      <c r="B49" s="77" t="s">
        <v>5</v>
      </c>
      <c r="C49" s="88" t="s">
        <v>53</v>
      </c>
      <c r="D49" s="69" t="s">
        <v>54</v>
      </c>
      <c r="E49" s="3" t="s">
        <v>28</v>
      </c>
      <c r="F49" s="6">
        <v>20</v>
      </c>
      <c r="G49" s="3">
        <v>5</v>
      </c>
      <c r="H49" s="4">
        <v>15</v>
      </c>
      <c r="I49" s="3"/>
      <c r="J49" s="4"/>
      <c r="K49" s="4"/>
    </row>
    <row r="50" spans="1:11" ht="15" customHeight="1" x14ac:dyDescent="0.2">
      <c r="A50" s="86"/>
      <c r="B50" s="78"/>
      <c r="C50" s="89"/>
      <c r="D50" s="70"/>
      <c r="E50" s="3" t="s">
        <v>29</v>
      </c>
      <c r="I50" s="3">
        <v>20</v>
      </c>
      <c r="J50" s="4">
        <v>5</v>
      </c>
      <c r="K50" s="4">
        <v>15</v>
      </c>
    </row>
    <row r="51" spans="1:11" ht="15" customHeight="1" x14ac:dyDescent="0.2">
      <c r="A51" s="86"/>
      <c r="B51" s="78"/>
      <c r="C51" s="89"/>
      <c r="D51" s="69" t="s">
        <v>55</v>
      </c>
      <c r="E51" s="3" t="s">
        <v>28</v>
      </c>
      <c r="F51" s="6">
        <v>20</v>
      </c>
      <c r="G51" s="3">
        <v>6</v>
      </c>
      <c r="H51" s="4">
        <v>14</v>
      </c>
      <c r="I51" s="3"/>
      <c r="J51" s="4"/>
      <c r="K51" s="4"/>
    </row>
    <row r="52" spans="1:11" ht="15" customHeight="1" x14ac:dyDescent="0.2">
      <c r="A52" s="86"/>
      <c r="B52" s="78"/>
      <c r="C52" s="89"/>
      <c r="D52" s="70"/>
      <c r="E52" s="3" t="s">
        <v>29</v>
      </c>
      <c r="I52" s="3">
        <v>22</v>
      </c>
      <c r="J52" s="4">
        <v>9</v>
      </c>
      <c r="K52" s="4">
        <v>13</v>
      </c>
    </row>
    <row r="53" spans="1:11" ht="15" customHeight="1" x14ac:dyDescent="0.2">
      <c r="A53" s="86"/>
      <c r="B53" s="78"/>
      <c r="C53" s="89"/>
      <c r="D53" s="69" t="s">
        <v>40</v>
      </c>
      <c r="E53" s="3" t="s">
        <v>28</v>
      </c>
      <c r="F53" s="6">
        <v>13</v>
      </c>
      <c r="G53" s="3">
        <v>5</v>
      </c>
      <c r="H53" s="4">
        <v>8</v>
      </c>
      <c r="I53" s="3"/>
      <c r="J53" s="4"/>
      <c r="K53" s="4"/>
    </row>
    <row r="54" spans="1:11" ht="15" customHeight="1" x14ac:dyDescent="0.2">
      <c r="A54" s="86"/>
      <c r="B54" s="78"/>
      <c r="C54" s="89"/>
      <c r="D54" s="70"/>
      <c r="E54" s="3" t="s">
        <v>29</v>
      </c>
      <c r="F54" s="6"/>
      <c r="G54" s="3"/>
      <c r="H54" s="4"/>
      <c r="I54" s="3">
        <v>13</v>
      </c>
      <c r="J54" s="4">
        <v>5</v>
      </c>
      <c r="K54" s="4">
        <v>8</v>
      </c>
    </row>
    <row r="55" spans="1:11" ht="15" customHeight="1" x14ac:dyDescent="0.2">
      <c r="A55" s="86"/>
      <c r="B55" s="78"/>
      <c r="C55" s="89"/>
      <c r="D55" s="69" t="s">
        <v>41</v>
      </c>
      <c r="E55" s="3" t="s">
        <v>28</v>
      </c>
      <c r="F55" s="3">
        <v>14</v>
      </c>
      <c r="G55" s="3">
        <v>4</v>
      </c>
      <c r="H55" s="3">
        <v>10</v>
      </c>
      <c r="I55" s="5"/>
      <c r="J55" s="4"/>
      <c r="K55" s="4"/>
    </row>
    <row r="56" spans="1:11" ht="15" customHeight="1" x14ac:dyDescent="0.2">
      <c r="A56" s="86"/>
      <c r="B56" s="78"/>
      <c r="C56" s="89"/>
      <c r="D56" s="70"/>
      <c r="E56" s="3" t="s">
        <v>29</v>
      </c>
      <c r="I56" s="6">
        <v>17</v>
      </c>
      <c r="J56" s="3">
        <v>5</v>
      </c>
      <c r="K56" s="3">
        <v>12</v>
      </c>
    </row>
    <row r="57" spans="1:11" ht="15" customHeight="1" x14ac:dyDescent="0.2">
      <c r="A57" s="86"/>
      <c r="B57" s="78"/>
      <c r="C57" s="89"/>
      <c r="D57" s="69" t="s">
        <v>42</v>
      </c>
      <c r="E57" s="3" t="s">
        <v>28</v>
      </c>
      <c r="F57" s="6">
        <v>21</v>
      </c>
      <c r="G57" s="3">
        <v>8</v>
      </c>
      <c r="H57" s="3">
        <v>13</v>
      </c>
      <c r="I57" s="3"/>
      <c r="J57" s="4"/>
      <c r="K57" s="4"/>
    </row>
    <row r="58" spans="1:11" ht="15" customHeight="1" x14ac:dyDescent="0.2">
      <c r="A58" s="86"/>
      <c r="B58" s="78"/>
      <c r="C58" s="89"/>
      <c r="D58" s="70"/>
      <c r="E58" s="3" t="s">
        <v>29</v>
      </c>
      <c r="I58" s="6">
        <v>20</v>
      </c>
      <c r="J58" s="3">
        <v>8</v>
      </c>
      <c r="K58" s="3">
        <v>12</v>
      </c>
    </row>
    <row r="59" spans="1:11" ht="15" customHeight="1" x14ac:dyDescent="0.25">
      <c r="A59" s="86"/>
      <c r="B59" s="78"/>
      <c r="C59" s="89"/>
      <c r="D59" s="72" t="s">
        <v>58</v>
      </c>
      <c r="E59" s="8" t="s">
        <v>28</v>
      </c>
      <c r="F59" s="6">
        <v>25</v>
      </c>
      <c r="G59" s="3">
        <v>10</v>
      </c>
      <c r="H59" s="3">
        <v>15</v>
      </c>
      <c r="I59" s="3"/>
      <c r="J59" s="4"/>
      <c r="K59" s="4"/>
    </row>
    <row r="60" spans="1:11" ht="15" customHeight="1" x14ac:dyDescent="0.25">
      <c r="A60" s="86"/>
      <c r="B60" s="78"/>
      <c r="C60" s="89"/>
      <c r="D60" s="73"/>
      <c r="E60" s="8" t="s">
        <v>29</v>
      </c>
      <c r="I60" s="6">
        <v>25</v>
      </c>
      <c r="J60" s="3">
        <v>9</v>
      </c>
      <c r="K60" s="3">
        <v>16</v>
      </c>
    </row>
    <row r="61" spans="1:11" ht="15" customHeight="1" x14ac:dyDescent="0.25">
      <c r="A61" s="86"/>
      <c r="B61" s="78"/>
      <c r="C61" s="89"/>
      <c r="D61" s="69" t="s">
        <v>56</v>
      </c>
      <c r="E61" s="8" t="s">
        <v>28</v>
      </c>
      <c r="F61" s="6">
        <v>20</v>
      </c>
      <c r="G61" s="3">
        <v>12</v>
      </c>
      <c r="H61" s="3">
        <v>8</v>
      </c>
      <c r="I61" s="3"/>
      <c r="J61" s="4"/>
      <c r="K61" s="4"/>
    </row>
    <row r="62" spans="1:11" ht="15" customHeight="1" x14ac:dyDescent="0.25">
      <c r="A62" s="86"/>
      <c r="B62" s="78"/>
      <c r="C62" s="89"/>
      <c r="D62" s="70"/>
      <c r="E62" s="8" t="s">
        <v>29</v>
      </c>
      <c r="I62" s="6">
        <v>20</v>
      </c>
      <c r="J62" s="3">
        <v>12</v>
      </c>
      <c r="K62" s="3">
        <v>8</v>
      </c>
    </row>
    <row r="63" spans="1:11" ht="15" customHeight="1" x14ac:dyDescent="0.25">
      <c r="A63" s="86"/>
      <c r="B63" s="78"/>
      <c r="C63" s="89"/>
      <c r="D63" s="71" t="s">
        <v>43</v>
      </c>
      <c r="E63" s="8" t="s">
        <v>28</v>
      </c>
      <c r="F63" s="6">
        <v>24</v>
      </c>
      <c r="G63" s="3">
        <v>16</v>
      </c>
      <c r="H63" s="3">
        <v>8</v>
      </c>
      <c r="I63" s="3"/>
      <c r="J63" s="4"/>
      <c r="K63" s="4"/>
    </row>
    <row r="64" spans="1:11" ht="15" customHeight="1" x14ac:dyDescent="0.25">
      <c r="A64" s="86"/>
      <c r="B64" s="78"/>
      <c r="C64" s="89"/>
      <c r="D64" s="70"/>
      <c r="E64" s="8" t="s">
        <v>29</v>
      </c>
      <c r="I64" s="6">
        <v>21</v>
      </c>
      <c r="J64" s="3">
        <v>15</v>
      </c>
      <c r="K64" s="3">
        <v>6</v>
      </c>
    </row>
    <row r="65" spans="1:11" ht="15" customHeight="1" x14ac:dyDescent="0.25">
      <c r="A65" s="86"/>
      <c r="B65" s="78"/>
      <c r="C65" s="89"/>
      <c r="D65" s="69" t="s">
        <v>44</v>
      </c>
      <c r="E65" s="8" t="s">
        <v>28</v>
      </c>
      <c r="F65" s="6">
        <v>29</v>
      </c>
      <c r="G65" s="3">
        <v>18</v>
      </c>
      <c r="H65" s="3">
        <v>11</v>
      </c>
      <c r="I65" s="3"/>
      <c r="J65" s="4"/>
      <c r="K65" s="4"/>
    </row>
    <row r="66" spans="1:11" ht="15" customHeight="1" x14ac:dyDescent="0.25">
      <c r="A66" s="86"/>
      <c r="B66" s="78"/>
      <c r="C66" s="89"/>
      <c r="D66" s="70"/>
      <c r="E66" s="8" t="s">
        <v>29</v>
      </c>
      <c r="I66" s="6">
        <v>30</v>
      </c>
      <c r="J66" s="3">
        <v>19</v>
      </c>
      <c r="K66" s="3">
        <v>11</v>
      </c>
    </row>
    <row r="67" spans="1:11" ht="15" customHeight="1" x14ac:dyDescent="0.25">
      <c r="A67" s="86"/>
      <c r="B67" s="78"/>
      <c r="C67" s="89"/>
      <c r="D67" s="69" t="s">
        <v>45</v>
      </c>
      <c r="E67" s="8" t="s">
        <v>28</v>
      </c>
      <c r="F67" s="6">
        <v>11</v>
      </c>
      <c r="G67" s="3">
        <v>6</v>
      </c>
      <c r="H67" s="3">
        <v>5</v>
      </c>
      <c r="I67" s="3"/>
      <c r="J67" s="4"/>
      <c r="K67" s="4"/>
    </row>
    <row r="68" spans="1:11" ht="15" customHeight="1" x14ac:dyDescent="0.25">
      <c r="A68" s="86"/>
      <c r="B68" s="78"/>
      <c r="C68" s="89"/>
      <c r="D68" s="70"/>
      <c r="E68" s="8" t="s">
        <v>29</v>
      </c>
      <c r="I68" s="6">
        <v>14</v>
      </c>
      <c r="J68" s="3">
        <v>8</v>
      </c>
      <c r="K68" s="3">
        <v>6</v>
      </c>
    </row>
    <row r="69" spans="1:11" ht="15" customHeight="1" x14ac:dyDescent="0.25">
      <c r="A69" s="86"/>
      <c r="B69" s="78"/>
      <c r="C69" s="89"/>
      <c r="D69" s="69" t="s">
        <v>46</v>
      </c>
      <c r="E69" s="8" t="s">
        <v>28</v>
      </c>
      <c r="F69" s="6">
        <v>18</v>
      </c>
      <c r="G69" s="3">
        <v>14</v>
      </c>
      <c r="H69" s="3">
        <v>4</v>
      </c>
      <c r="I69" s="3"/>
      <c r="J69" s="4"/>
      <c r="K69" s="4"/>
    </row>
    <row r="70" spans="1:11" ht="15" customHeight="1" x14ac:dyDescent="0.25">
      <c r="A70" s="86"/>
      <c r="B70" s="78"/>
      <c r="C70" s="89"/>
      <c r="D70" s="70"/>
      <c r="E70" s="8" t="s">
        <v>29</v>
      </c>
      <c r="I70" s="6">
        <v>19</v>
      </c>
      <c r="J70" s="3">
        <v>14</v>
      </c>
      <c r="K70" s="3">
        <v>5</v>
      </c>
    </row>
    <row r="71" spans="1:11" ht="15" customHeight="1" x14ac:dyDescent="0.25">
      <c r="A71" s="86"/>
      <c r="B71" s="78"/>
      <c r="C71" s="89"/>
      <c r="D71" s="69" t="s">
        <v>47</v>
      </c>
      <c r="E71" s="8" t="s">
        <v>28</v>
      </c>
      <c r="F71" s="6">
        <v>12</v>
      </c>
      <c r="G71" s="3">
        <v>10</v>
      </c>
      <c r="H71" s="3">
        <v>2</v>
      </c>
      <c r="I71" s="3"/>
      <c r="J71" s="4"/>
      <c r="K71" s="4"/>
    </row>
    <row r="72" spans="1:11" ht="15.75" customHeight="1" thickBot="1" x14ac:dyDescent="0.3">
      <c r="A72" s="87"/>
      <c r="B72" s="79"/>
      <c r="C72" s="90"/>
      <c r="D72" s="71"/>
      <c r="E72" s="13" t="s">
        <v>29</v>
      </c>
      <c r="F72" s="22"/>
      <c r="G72" s="23"/>
      <c r="H72" s="24"/>
      <c r="I72" s="12">
        <v>14</v>
      </c>
      <c r="J72" s="2">
        <v>12</v>
      </c>
      <c r="K72" s="2">
        <v>2</v>
      </c>
    </row>
    <row r="73" spans="1:11" ht="23.25" x14ac:dyDescent="0.25">
      <c r="D73" s="33" t="s">
        <v>60</v>
      </c>
      <c r="E73" s="34"/>
      <c r="F73" s="25">
        <f t="shared" ref="F73:K73" si="4">SUM(F49:F72)</f>
        <v>227</v>
      </c>
      <c r="G73" s="25">
        <f t="shared" si="4"/>
        <v>114</v>
      </c>
      <c r="H73" s="25">
        <f t="shared" si="4"/>
        <v>113</v>
      </c>
      <c r="I73" s="25">
        <f t="shared" si="4"/>
        <v>235</v>
      </c>
      <c r="J73" s="25">
        <f t="shared" si="4"/>
        <v>121</v>
      </c>
      <c r="K73" s="25">
        <f t="shared" si="4"/>
        <v>114</v>
      </c>
    </row>
    <row r="74" spans="1:11" ht="15.75" customHeight="1" x14ac:dyDescent="0.2">
      <c r="F74"/>
      <c r="G74"/>
      <c r="H74"/>
      <c r="I74"/>
      <c r="J74"/>
      <c r="K74"/>
    </row>
    <row r="75" spans="1:11" ht="15.75" customHeight="1" x14ac:dyDescent="0.2">
      <c r="F75"/>
      <c r="G75"/>
      <c r="H75"/>
      <c r="I75"/>
      <c r="J75"/>
      <c r="K75"/>
    </row>
    <row r="76" spans="1:11" ht="15.75" customHeight="1" x14ac:dyDescent="0.2">
      <c r="F76"/>
      <c r="G76"/>
      <c r="H76"/>
      <c r="I76"/>
      <c r="J76"/>
      <c r="K76"/>
    </row>
    <row r="77" spans="1:11" ht="45" customHeight="1" x14ac:dyDescent="0.2">
      <c r="A77" s="50" t="s">
        <v>0</v>
      </c>
      <c r="B77" s="50" t="s">
        <v>1</v>
      </c>
      <c r="C77" s="50" t="s">
        <v>2</v>
      </c>
      <c r="D77" s="50" t="s">
        <v>3</v>
      </c>
      <c r="E77" s="50" t="s">
        <v>27</v>
      </c>
      <c r="F77" s="52" t="s">
        <v>32</v>
      </c>
      <c r="G77" s="53"/>
      <c r="H77" s="54"/>
      <c r="I77" s="55" t="s">
        <v>33</v>
      </c>
      <c r="J77" s="56"/>
      <c r="K77" s="57"/>
    </row>
    <row r="78" spans="1:11" ht="15.75" customHeight="1" thickBot="1" x14ac:dyDescent="0.25">
      <c r="A78" s="64"/>
      <c r="B78" s="64"/>
      <c r="C78" s="64"/>
      <c r="D78" s="51"/>
      <c r="E78" s="51"/>
      <c r="F78" s="26" t="s">
        <v>36</v>
      </c>
      <c r="G78" s="27" t="s">
        <v>34</v>
      </c>
      <c r="H78" s="27" t="s">
        <v>37</v>
      </c>
      <c r="I78" s="26" t="s">
        <v>36</v>
      </c>
      <c r="J78" s="27" t="s">
        <v>34</v>
      </c>
      <c r="K78" s="27" t="s">
        <v>37</v>
      </c>
    </row>
    <row r="79" spans="1:11" ht="15.75" customHeight="1" x14ac:dyDescent="0.2">
      <c r="A79" s="80" t="s">
        <v>22</v>
      </c>
      <c r="B79" s="77" t="s">
        <v>5</v>
      </c>
      <c r="C79" s="74" t="s">
        <v>52</v>
      </c>
      <c r="D79" s="84" t="s">
        <v>48</v>
      </c>
      <c r="E79" s="14" t="s">
        <v>30</v>
      </c>
      <c r="F79" s="15">
        <v>30</v>
      </c>
      <c r="G79" s="14">
        <v>16</v>
      </c>
      <c r="H79" s="16">
        <v>14</v>
      </c>
      <c r="I79" s="15">
        <v>30</v>
      </c>
      <c r="J79" s="14">
        <v>16</v>
      </c>
      <c r="K79" s="17">
        <v>14</v>
      </c>
    </row>
    <row r="80" spans="1:11" ht="15.75" customHeight="1" x14ac:dyDescent="0.2">
      <c r="A80" s="81"/>
      <c r="B80" s="78"/>
      <c r="C80" s="75"/>
      <c r="D80" s="36"/>
      <c r="E80" s="3" t="s">
        <v>31</v>
      </c>
      <c r="F80" s="6">
        <v>31</v>
      </c>
      <c r="G80" s="3">
        <v>16</v>
      </c>
      <c r="H80" s="4">
        <v>15</v>
      </c>
      <c r="I80" s="6">
        <v>31</v>
      </c>
      <c r="J80" s="3">
        <v>16</v>
      </c>
      <c r="K80" s="18">
        <v>15</v>
      </c>
    </row>
    <row r="81" spans="1:11" ht="15" customHeight="1" x14ac:dyDescent="0.2">
      <c r="A81" s="81"/>
      <c r="B81" s="78"/>
      <c r="C81" s="75"/>
      <c r="D81" s="35" t="s">
        <v>57</v>
      </c>
      <c r="E81" s="3" t="s">
        <v>30</v>
      </c>
      <c r="F81" s="6">
        <v>37</v>
      </c>
      <c r="G81" s="3">
        <v>11</v>
      </c>
      <c r="H81" s="4">
        <v>26</v>
      </c>
      <c r="I81" s="6">
        <v>37</v>
      </c>
      <c r="J81" s="3">
        <v>11</v>
      </c>
      <c r="K81" s="18">
        <v>26</v>
      </c>
    </row>
    <row r="82" spans="1:11" ht="15" customHeight="1" x14ac:dyDescent="0.2">
      <c r="A82" s="81"/>
      <c r="B82" s="78"/>
      <c r="C82" s="75"/>
      <c r="D82" s="36"/>
      <c r="E82" s="3" t="s">
        <v>31</v>
      </c>
      <c r="F82" s="6">
        <v>39</v>
      </c>
      <c r="G82" s="3">
        <v>13</v>
      </c>
      <c r="H82" s="4">
        <v>26</v>
      </c>
      <c r="I82" s="6">
        <v>39</v>
      </c>
      <c r="J82" s="3">
        <v>13</v>
      </c>
      <c r="K82" s="18">
        <v>26</v>
      </c>
    </row>
    <row r="83" spans="1:11" ht="15" customHeight="1" x14ac:dyDescent="0.2">
      <c r="A83" s="81"/>
      <c r="B83" s="78"/>
      <c r="C83" s="75"/>
      <c r="D83" s="35" t="s">
        <v>49</v>
      </c>
      <c r="E83" s="3" t="s">
        <v>30</v>
      </c>
      <c r="F83" s="6">
        <v>53</v>
      </c>
      <c r="G83" s="3">
        <v>9</v>
      </c>
      <c r="H83" s="4">
        <v>44</v>
      </c>
      <c r="I83" s="6">
        <v>53</v>
      </c>
      <c r="J83" s="3">
        <v>9</v>
      </c>
      <c r="K83" s="18">
        <v>44</v>
      </c>
    </row>
    <row r="84" spans="1:11" ht="15" customHeight="1" x14ac:dyDescent="0.2">
      <c r="A84" s="81"/>
      <c r="B84" s="78"/>
      <c r="C84" s="75"/>
      <c r="D84" s="36"/>
      <c r="E84" s="3" t="s">
        <v>31</v>
      </c>
      <c r="F84" s="6">
        <v>53</v>
      </c>
      <c r="G84" s="3">
        <v>9</v>
      </c>
      <c r="H84" s="4">
        <v>44</v>
      </c>
      <c r="I84" s="6">
        <v>53</v>
      </c>
      <c r="J84" s="3">
        <v>9</v>
      </c>
      <c r="K84" s="18">
        <v>44</v>
      </c>
    </row>
    <row r="85" spans="1:11" ht="15" customHeight="1" x14ac:dyDescent="0.2">
      <c r="A85" s="81"/>
      <c r="B85" s="78"/>
      <c r="C85" s="75"/>
      <c r="D85" s="35" t="s">
        <v>50</v>
      </c>
      <c r="E85" s="3" t="s">
        <v>30</v>
      </c>
      <c r="F85" s="6">
        <v>42</v>
      </c>
      <c r="G85" s="3">
        <v>26</v>
      </c>
      <c r="H85" s="3">
        <v>16</v>
      </c>
      <c r="I85" s="6">
        <v>42</v>
      </c>
      <c r="J85" s="3">
        <v>26</v>
      </c>
      <c r="K85" s="19">
        <v>16</v>
      </c>
    </row>
    <row r="86" spans="1:11" ht="15" customHeight="1" x14ac:dyDescent="0.2">
      <c r="A86" s="81"/>
      <c r="B86" s="78"/>
      <c r="C86" s="75"/>
      <c r="D86" s="36"/>
      <c r="E86" s="3" t="s">
        <v>31</v>
      </c>
      <c r="F86" s="6">
        <v>38</v>
      </c>
      <c r="G86" s="3">
        <v>24</v>
      </c>
      <c r="H86" s="3">
        <v>14</v>
      </c>
      <c r="I86" s="6">
        <v>38</v>
      </c>
      <c r="J86" s="3">
        <v>24</v>
      </c>
      <c r="K86" s="19">
        <v>14</v>
      </c>
    </row>
    <row r="87" spans="1:11" ht="15" customHeight="1" x14ac:dyDescent="0.2">
      <c r="A87" s="81"/>
      <c r="B87" s="78"/>
      <c r="C87" s="75"/>
      <c r="D87" s="35" t="s">
        <v>42</v>
      </c>
      <c r="E87" s="3" t="s">
        <v>30</v>
      </c>
      <c r="F87" s="6">
        <v>31</v>
      </c>
      <c r="G87" s="3">
        <v>17</v>
      </c>
      <c r="H87" s="3">
        <v>14</v>
      </c>
      <c r="I87" s="6">
        <v>31</v>
      </c>
      <c r="J87" s="3">
        <v>17</v>
      </c>
      <c r="K87" s="19">
        <v>14</v>
      </c>
    </row>
    <row r="88" spans="1:11" ht="15" customHeight="1" x14ac:dyDescent="0.2">
      <c r="A88" s="81"/>
      <c r="B88" s="78"/>
      <c r="C88" s="75"/>
      <c r="D88" s="36"/>
      <c r="E88" s="3" t="s">
        <v>31</v>
      </c>
      <c r="F88" s="6">
        <v>31</v>
      </c>
      <c r="G88" s="3">
        <v>17</v>
      </c>
      <c r="H88" s="3">
        <v>14</v>
      </c>
      <c r="I88" s="6">
        <v>31</v>
      </c>
      <c r="J88" s="3">
        <v>17</v>
      </c>
      <c r="K88" s="19">
        <v>14</v>
      </c>
    </row>
    <row r="89" spans="1:11" ht="15" customHeight="1" x14ac:dyDescent="0.2">
      <c r="A89" s="81"/>
      <c r="B89" s="78"/>
      <c r="C89" s="75"/>
      <c r="D89" s="38" t="s">
        <v>58</v>
      </c>
      <c r="E89" s="3" t="s">
        <v>30</v>
      </c>
      <c r="F89" s="6">
        <v>29</v>
      </c>
      <c r="G89" s="3">
        <v>13</v>
      </c>
      <c r="H89" s="3">
        <v>16</v>
      </c>
      <c r="I89" s="6">
        <v>29</v>
      </c>
      <c r="J89" s="3">
        <v>13</v>
      </c>
      <c r="K89" s="19">
        <v>16</v>
      </c>
    </row>
    <row r="90" spans="1:11" ht="15" customHeight="1" x14ac:dyDescent="0.2">
      <c r="A90" s="81"/>
      <c r="B90" s="78"/>
      <c r="C90" s="75"/>
      <c r="D90" s="39"/>
      <c r="E90" s="3" t="s">
        <v>31</v>
      </c>
      <c r="F90" s="6">
        <v>28</v>
      </c>
      <c r="G90" s="3">
        <v>12</v>
      </c>
      <c r="H90" s="3">
        <v>16</v>
      </c>
      <c r="I90" s="6">
        <v>28</v>
      </c>
      <c r="J90" s="3">
        <v>12</v>
      </c>
      <c r="K90" s="19">
        <v>16</v>
      </c>
    </row>
    <row r="91" spans="1:11" ht="15" customHeight="1" x14ac:dyDescent="0.2">
      <c r="A91" s="81"/>
      <c r="B91" s="78"/>
      <c r="C91" s="75"/>
      <c r="D91" s="35" t="s">
        <v>56</v>
      </c>
      <c r="E91" s="3" t="s">
        <v>30</v>
      </c>
      <c r="F91" s="6">
        <v>21</v>
      </c>
      <c r="G91" s="3">
        <v>16</v>
      </c>
      <c r="H91" s="3">
        <v>5</v>
      </c>
      <c r="I91" s="6">
        <v>21</v>
      </c>
      <c r="J91" s="3">
        <v>16</v>
      </c>
      <c r="K91" s="19">
        <v>5</v>
      </c>
    </row>
    <row r="92" spans="1:11" ht="15" customHeight="1" x14ac:dyDescent="0.2">
      <c r="A92" s="81"/>
      <c r="B92" s="78"/>
      <c r="C92" s="75"/>
      <c r="D92" s="36"/>
      <c r="E92" s="3" t="s">
        <v>31</v>
      </c>
      <c r="F92" s="6">
        <v>20</v>
      </c>
      <c r="G92" s="3">
        <v>15</v>
      </c>
      <c r="H92" s="3">
        <v>5</v>
      </c>
      <c r="I92" s="6">
        <v>20</v>
      </c>
      <c r="J92" s="3">
        <v>15</v>
      </c>
      <c r="K92" s="19">
        <v>5</v>
      </c>
    </row>
    <row r="93" spans="1:11" ht="15" customHeight="1" x14ac:dyDescent="0.2">
      <c r="A93" s="81"/>
      <c r="B93" s="78"/>
      <c r="C93" s="75"/>
      <c r="D93" s="35" t="s">
        <v>43</v>
      </c>
      <c r="E93" s="3" t="s">
        <v>30</v>
      </c>
      <c r="F93" s="6">
        <v>43</v>
      </c>
      <c r="G93" s="3">
        <v>20</v>
      </c>
      <c r="H93" s="3">
        <v>23</v>
      </c>
      <c r="I93" s="6">
        <v>43</v>
      </c>
      <c r="J93" s="3">
        <v>20</v>
      </c>
      <c r="K93" s="19">
        <v>23</v>
      </c>
    </row>
    <row r="94" spans="1:11" ht="15" customHeight="1" x14ac:dyDescent="0.2">
      <c r="A94" s="81"/>
      <c r="B94" s="78"/>
      <c r="C94" s="75"/>
      <c r="D94" s="36"/>
      <c r="E94" s="3" t="s">
        <v>31</v>
      </c>
      <c r="F94" s="28">
        <v>45</v>
      </c>
      <c r="G94" s="29">
        <v>22</v>
      </c>
      <c r="H94" s="29">
        <v>23</v>
      </c>
      <c r="I94" s="6">
        <v>43</v>
      </c>
      <c r="J94" s="3">
        <v>20</v>
      </c>
      <c r="K94" s="19">
        <v>23</v>
      </c>
    </row>
    <row r="95" spans="1:11" ht="15" customHeight="1" x14ac:dyDescent="0.2">
      <c r="A95" s="81"/>
      <c r="B95" s="78"/>
      <c r="C95" s="75"/>
      <c r="D95" s="35" t="s">
        <v>45</v>
      </c>
      <c r="E95" s="3" t="s">
        <v>30</v>
      </c>
      <c r="F95" s="28">
        <v>18</v>
      </c>
      <c r="G95" s="29">
        <v>14</v>
      </c>
      <c r="H95" s="29">
        <v>4</v>
      </c>
      <c r="I95" s="6">
        <v>15</v>
      </c>
      <c r="J95" s="3">
        <v>12</v>
      </c>
      <c r="K95" s="19">
        <v>3</v>
      </c>
    </row>
    <row r="96" spans="1:11" ht="15" customHeight="1" x14ac:dyDescent="0.2">
      <c r="A96" s="81"/>
      <c r="B96" s="78"/>
      <c r="C96" s="75"/>
      <c r="D96" s="36"/>
      <c r="E96" s="3" t="s">
        <v>31</v>
      </c>
      <c r="F96" s="6">
        <v>17</v>
      </c>
      <c r="G96" s="3">
        <v>13</v>
      </c>
      <c r="H96" s="3">
        <v>4</v>
      </c>
      <c r="I96" s="6">
        <v>17</v>
      </c>
      <c r="J96" s="3">
        <v>13</v>
      </c>
      <c r="K96" s="19">
        <v>4</v>
      </c>
    </row>
    <row r="97" spans="1:11" ht="15" customHeight="1" x14ac:dyDescent="0.2">
      <c r="A97" s="81"/>
      <c r="B97" s="78"/>
      <c r="C97" s="75"/>
      <c r="D97" s="35" t="s">
        <v>46</v>
      </c>
      <c r="E97" s="3" t="s">
        <v>30</v>
      </c>
      <c r="F97" s="6">
        <v>44</v>
      </c>
      <c r="G97" s="3">
        <v>29</v>
      </c>
      <c r="H97" s="3">
        <v>15</v>
      </c>
      <c r="I97" s="6">
        <v>42</v>
      </c>
      <c r="J97" s="3">
        <v>28</v>
      </c>
      <c r="K97" s="19">
        <v>14</v>
      </c>
    </row>
    <row r="98" spans="1:11" ht="15" customHeight="1" x14ac:dyDescent="0.2">
      <c r="A98" s="81"/>
      <c r="B98" s="78"/>
      <c r="C98" s="75"/>
      <c r="D98" s="36"/>
      <c r="E98" s="3" t="s">
        <v>31</v>
      </c>
      <c r="F98" s="28">
        <v>38</v>
      </c>
      <c r="G98" s="29">
        <v>25</v>
      </c>
      <c r="H98" s="29">
        <v>13</v>
      </c>
      <c r="I98" s="6">
        <v>37</v>
      </c>
      <c r="J98" s="3">
        <v>24</v>
      </c>
      <c r="K98" s="19">
        <v>13</v>
      </c>
    </row>
    <row r="99" spans="1:11" ht="15" customHeight="1" x14ac:dyDescent="0.2">
      <c r="A99" s="81"/>
      <c r="B99" s="78"/>
      <c r="C99" s="75"/>
      <c r="D99" s="35" t="s">
        <v>47</v>
      </c>
      <c r="E99" s="3" t="s">
        <v>30</v>
      </c>
      <c r="F99" s="28">
        <v>29</v>
      </c>
      <c r="G99" s="29">
        <v>22</v>
      </c>
      <c r="H99" s="29">
        <v>7</v>
      </c>
      <c r="I99" s="6">
        <v>26</v>
      </c>
      <c r="J99" s="3">
        <v>20</v>
      </c>
      <c r="K99" s="19">
        <v>6</v>
      </c>
    </row>
    <row r="100" spans="1:11" ht="15" customHeight="1" x14ac:dyDescent="0.2">
      <c r="A100" s="81"/>
      <c r="B100" s="78"/>
      <c r="C100" s="75"/>
      <c r="D100" s="91"/>
      <c r="E100" s="2" t="s">
        <v>31</v>
      </c>
      <c r="F100" s="12">
        <v>24</v>
      </c>
      <c r="G100" s="3">
        <v>18</v>
      </c>
      <c r="H100" s="2">
        <v>6</v>
      </c>
      <c r="I100" s="12">
        <v>24</v>
      </c>
      <c r="J100" s="3">
        <v>18</v>
      </c>
      <c r="K100" s="20">
        <v>6</v>
      </c>
    </row>
    <row r="101" spans="1:11" ht="15" customHeight="1" x14ac:dyDescent="0.2">
      <c r="A101" s="81"/>
      <c r="B101" s="78"/>
      <c r="C101" s="75"/>
      <c r="D101" s="35" t="s">
        <v>51</v>
      </c>
      <c r="E101" s="3" t="s">
        <v>30</v>
      </c>
      <c r="F101" s="6">
        <v>37</v>
      </c>
      <c r="G101" s="3">
        <v>13</v>
      </c>
      <c r="H101" s="3">
        <v>24</v>
      </c>
      <c r="I101" s="6">
        <v>37</v>
      </c>
      <c r="J101" s="3">
        <v>13</v>
      </c>
      <c r="K101" s="19">
        <v>24</v>
      </c>
    </row>
    <row r="102" spans="1:11" ht="15" customHeight="1" x14ac:dyDescent="0.2">
      <c r="A102" s="81"/>
      <c r="B102" s="78"/>
      <c r="C102" s="75"/>
      <c r="D102" s="36"/>
      <c r="E102" s="3" t="s">
        <v>31</v>
      </c>
      <c r="F102" s="6">
        <v>37</v>
      </c>
      <c r="G102" s="3">
        <v>13</v>
      </c>
      <c r="H102" s="3">
        <v>24</v>
      </c>
      <c r="I102" s="6">
        <v>37</v>
      </c>
      <c r="J102" s="3">
        <v>13</v>
      </c>
      <c r="K102" s="19">
        <v>24</v>
      </c>
    </row>
    <row r="103" spans="1:11" ht="15" customHeight="1" x14ac:dyDescent="0.2">
      <c r="A103" s="81"/>
      <c r="B103" s="78"/>
      <c r="C103" s="75"/>
      <c r="D103" s="35" t="s">
        <v>59</v>
      </c>
      <c r="E103" s="3" t="s">
        <v>30</v>
      </c>
      <c r="F103" s="6">
        <v>29</v>
      </c>
      <c r="G103" s="3">
        <v>20</v>
      </c>
      <c r="H103" s="3">
        <v>9</v>
      </c>
      <c r="I103" s="6">
        <v>29</v>
      </c>
      <c r="J103" s="3">
        <v>20</v>
      </c>
      <c r="K103" s="19">
        <v>9</v>
      </c>
    </row>
    <row r="104" spans="1:11" ht="15.75" customHeight="1" thickBot="1" x14ac:dyDescent="0.25">
      <c r="A104" s="82"/>
      <c r="B104" s="79"/>
      <c r="C104" s="76"/>
      <c r="D104" s="83"/>
      <c r="E104" s="11" t="s">
        <v>31</v>
      </c>
      <c r="F104" s="10">
        <v>28</v>
      </c>
      <c r="G104" s="11">
        <v>19</v>
      </c>
      <c r="H104" s="11">
        <v>9</v>
      </c>
      <c r="I104" s="10">
        <v>28</v>
      </c>
      <c r="J104" s="11">
        <v>19</v>
      </c>
      <c r="K104" s="21">
        <v>9</v>
      </c>
    </row>
    <row r="105" spans="1:11" ht="23.25" x14ac:dyDescent="0.25">
      <c r="D105" s="33" t="s">
        <v>63</v>
      </c>
      <c r="E105" s="34"/>
      <c r="F105" s="25">
        <f>F79+F81+F83+F85+F87+F89+F91+F93+F95+F97+F99+F101+F103</f>
        <v>443</v>
      </c>
      <c r="G105" s="25">
        <f t="shared" ref="G105:K105" si="5">G79+G81+G83+G85+G87+G89+G91+G93+G95+G97+G99+G101+G103</f>
        <v>226</v>
      </c>
      <c r="H105" s="25">
        <f t="shared" si="5"/>
        <v>217</v>
      </c>
      <c r="I105" s="25">
        <f t="shared" si="5"/>
        <v>435</v>
      </c>
      <c r="J105" s="25">
        <f t="shared" si="5"/>
        <v>221</v>
      </c>
      <c r="K105" s="25">
        <f t="shared" si="5"/>
        <v>214</v>
      </c>
    </row>
    <row r="106" spans="1:11" ht="18.75" customHeight="1" x14ac:dyDescent="0.25">
      <c r="D106" s="33" t="s">
        <v>64</v>
      </c>
      <c r="E106" s="34"/>
      <c r="F106" s="25">
        <f>F80+F82+F84+F86+F88+F90+F92+F94+F96+F98+F100+F102+F104</f>
        <v>429</v>
      </c>
      <c r="G106" s="25">
        <f t="shared" ref="G106:K106" si="6">G80+G82+G84+G86+G88+G90+G92+G94+G96+G98+G100+G102+G104</f>
        <v>216</v>
      </c>
      <c r="H106" s="25">
        <f t="shared" si="6"/>
        <v>213</v>
      </c>
      <c r="I106" s="25">
        <f t="shared" si="6"/>
        <v>426</v>
      </c>
      <c r="J106" s="25">
        <f t="shared" si="6"/>
        <v>213</v>
      </c>
      <c r="K106" s="25">
        <f t="shared" si="6"/>
        <v>213</v>
      </c>
    </row>
    <row r="107" spans="1:11" x14ac:dyDescent="0.2">
      <c r="F107"/>
      <c r="G107"/>
      <c r="H107"/>
      <c r="I107"/>
      <c r="J107"/>
      <c r="K107"/>
    </row>
    <row r="108" spans="1:11" ht="15" customHeight="1" x14ac:dyDescent="0.2">
      <c r="F108"/>
      <c r="G108"/>
      <c r="H108"/>
      <c r="I108"/>
      <c r="J108"/>
      <c r="K108"/>
    </row>
    <row r="109" spans="1:11" ht="15" customHeight="1" x14ac:dyDescent="0.2">
      <c r="F109"/>
      <c r="G109"/>
      <c r="H109"/>
      <c r="I109"/>
      <c r="J109"/>
      <c r="K109"/>
    </row>
    <row r="110" spans="1:11" ht="15" customHeight="1" x14ac:dyDescent="0.2">
      <c r="F110"/>
      <c r="G110"/>
      <c r="H110"/>
      <c r="I110"/>
      <c r="J110"/>
      <c r="K110"/>
    </row>
    <row r="111" spans="1:11" x14ac:dyDescent="0.2">
      <c r="F111"/>
      <c r="G111"/>
      <c r="H111"/>
      <c r="I111"/>
      <c r="J111"/>
      <c r="K111"/>
    </row>
    <row r="112" spans="1:11" x14ac:dyDescent="0.2">
      <c r="F112"/>
      <c r="G112"/>
      <c r="H112"/>
      <c r="I112"/>
      <c r="J112"/>
      <c r="K112"/>
    </row>
    <row r="113" customFormat="1" x14ac:dyDescent="0.2"/>
    <row r="114" customFormat="1" x14ac:dyDescent="0.2"/>
  </sheetData>
  <mergeCells count="81">
    <mergeCell ref="B49:B72"/>
    <mergeCell ref="A49:A72"/>
    <mergeCell ref="D73:E73"/>
    <mergeCell ref="D105:E105"/>
    <mergeCell ref="F77:H77"/>
    <mergeCell ref="D63:D64"/>
    <mergeCell ref="C49:C72"/>
    <mergeCell ref="D93:D94"/>
    <mergeCell ref="D95:D96"/>
    <mergeCell ref="D97:D98"/>
    <mergeCell ref="D99:D100"/>
    <mergeCell ref="D83:D84"/>
    <mergeCell ref="D85:D86"/>
    <mergeCell ref="D49:D50"/>
    <mergeCell ref="D51:D52"/>
    <mergeCell ref="D53:D54"/>
    <mergeCell ref="I77:K77"/>
    <mergeCell ref="C79:C104"/>
    <mergeCell ref="B79:B104"/>
    <mergeCell ref="A79:A104"/>
    <mergeCell ref="A77:A78"/>
    <mergeCell ref="B77:B78"/>
    <mergeCell ref="C77:C78"/>
    <mergeCell ref="D77:D78"/>
    <mergeCell ref="E77:E78"/>
    <mergeCell ref="D101:D102"/>
    <mergeCell ref="D103:D104"/>
    <mergeCell ref="D79:D80"/>
    <mergeCell ref="D81:D82"/>
    <mergeCell ref="D87:D88"/>
    <mergeCell ref="D89:D90"/>
    <mergeCell ref="D91:D92"/>
    <mergeCell ref="F47:H47"/>
    <mergeCell ref="I47:K47"/>
    <mergeCell ref="A45:B45"/>
    <mergeCell ref="B11:B42"/>
    <mergeCell ref="A11:A42"/>
    <mergeCell ref="A47:A48"/>
    <mergeCell ref="B47:B48"/>
    <mergeCell ref="D27:D28"/>
    <mergeCell ref="D25:D26"/>
    <mergeCell ref="D23:D24"/>
    <mergeCell ref="D33:D34"/>
    <mergeCell ref="C11:C20"/>
    <mergeCell ref="C21:C34"/>
    <mergeCell ref="D11:D12"/>
    <mergeCell ref="D13:D14"/>
    <mergeCell ref="C47:C48"/>
    <mergeCell ref="A5:K5"/>
    <mergeCell ref="A9:A10"/>
    <mergeCell ref="B9:B10"/>
    <mergeCell ref="C9:C10"/>
    <mergeCell ref="E9:E10"/>
    <mergeCell ref="D9:D10"/>
    <mergeCell ref="F9:H9"/>
    <mergeCell ref="I9:K9"/>
    <mergeCell ref="A7:B7"/>
    <mergeCell ref="D37:D38"/>
    <mergeCell ref="D35:D36"/>
    <mergeCell ref="C35:C42"/>
    <mergeCell ref="D15:D16"/>
    <mergeCell ref="D19:D20"/>
    <mergeCell ref="D17:D18"/>
    <mergeCell ref="D21:D22"/>
    <mergeCell ref="D31:D32"/>
    <mergeCell ref="D29:D30"/>
    <mergeCell ref="D43:E43"/>
    <mergeCell ref="D44:E44"/>
    <mergeCell ref="D106:E106"/>
    <mergeCell ref="D41:D42"/>
    <mergeCell ref="D39:D40"/>
    <mergeCell ref="E47:E48"/>
    <mergeCell ref="D67:D68"/>
    <mergeCell ref="D69:D70"/>
    <mergeCell ref="D71:D72"/>
    <mergeCell ref="D47:D48"/>
    <mergeCell ref="D55:D56"/>
    <mergeCell ref="D57:D58"/>
    <mergeCell ref="D59:D60"/>
    <mergeCell ref="D61:D62"/>
    <mergeCell ref="D65:D66"/>
  </mergeCells>
  <phoneticPr fontId="6" type="noConversion"/>
  <pageMargins left="0.7" right="0.7" top="0.75" bottom="0.75" header="0.3" footer="0.3"/>
  <pageSetup paperSize="9" scale="68" orientation="landscape" r:id="rId1"/>
  <rowBreaks count="2" manualBreakCount="2">
    <brk id="34" max="16383" man="1"/>
    <brk id="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2025-07-28T12:11:49Z</cp:lastPrinted>
  <dcterms:created xsi:type="dcterms:W3CDTF">2025-07-08T15:21:32Z</dcterms:created>
  <dcterms:modified xsi:type="dcterms:W3CDTF">2025-07-30T08:29:34Z</dcterms:modified>
</cp:coreProperties>
</file>