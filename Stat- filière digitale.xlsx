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FC10548-5B2F-44D8-8FF2-3F0E20424FF7}" xr6:coauthVersionLast="47" xr6:coauthVersionMax="47" xr10:uidLastSave="{00000000-0000-0000-0000-000000000000}"/>
  <bookViews>
    <workbookView xWindow="11115" yWindow="4035" windowWidth="14865" windowHeight="11295" xr2:uid="{5EDB7DB0-9348-49F3-B369-99D5C3879456}"/>
  </bookViews>
  <sheets>
    <sheet name="Sheet1" sheetId="1" r:id="rId1"/>
    <sheet name="Feuil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K8" i="1"/>
</calcChain>
</file>

<file path=xl/sharedStrings.xml><?xml version="1.0" encoding="utf-8"?>
<sst xmlns="http://schemas.openxmlformats.org/spreadsheetml/2006/main" count="38" uniqueCount="32">
  <si>
    <t>عدد الطلبة الجدد من السنة الثالثة</t>
  </si>
  <si>
    <t>عدد الطلبة الجدد من السنة الأولى</t>
  </si>
  <si>
    <t>عدد الطلبة</t>
  </si>
  <si>
    <t>المسلك</t>
  </si>
  <si>
    <t>الإناث منهم</t>
  </si>
  <si>
    <t>المجموع</t>
  </si>
  <si>
    <t xml:space="preserve">المؤسسات المعنية بالعقد: </t>
  </si>
  <si>
    <t xml:space="preserve">كلية العلوم </t>
  </si>
  <si>
    <t xml:space="preserve">كلية العلوم والتقنيات </t>
  </si>
  <si>
    <t>الإجازة</t>
  </si>
  <si>
    <t>الماستر</t>
  </si>
  <si>
    <t>كلية متعددة التخصصات</t>
  </si>
  <si>
    <t xml:space="preserve">المدرسة الوطنية للعلوم التطبيقية </t>
  </si>
  <si>
    <t>المدرسة العليا للتكنولوجيا</t>
  </si>
  <si>
    <t>diplôme</t>
  </si>
  <si>
    <t>عدد الطلبة الجدد</t>
  </si>
  <si>
    <t xml:space="preserve"> عدد الطلبة المسجلين في المسالك الرقمية في إطار عقد تنفيذ برنامج  تعزيز أعداد خريجي الجامعات في موارد الرقمنة</t>
  </si>
  <si>
    <t>IAP/S1</t>
  </si>
  <si>
    <t>IAP/S3</t>
  </si>
  <si>
    <t>NSC/S5</t>
  </si>
  <si>
    <t>ISI/S5</t>
  </si>
  <si>
    <t>IASD/S5</t>
  </si>
  <si>
    <t>S-Info/S5</t>
  </si>
  <si>
    <t>S-Info/S3</t>
  </si>
  <si>
    <t>كلية العلوم السملالية</t>
  </si>
  <si>
    <t>ISI</t>
  </si>
  <si>
    <t>IA</t>
  </si>
  <si>
    <r>
      <t>Licence </t>
    </r>
    <r>
      <rPr>
        <sz val="11"/>
        <color theme="1"/>
        <rFont val="Calibri"/>
        <family val="2"/>
        <scheme val="minor"/>
      </rPr>
      <t>: Sciences Informatiques (</t>
    </r>
    <r>
      <rPr>
        <b/>
        <sz val="12"/>
        <color theme="1"/>
        <rFont val="Calibri"/>
        <family val="2"/>
        <scheme val="minor"/>
      </rPr>
      <t>SI)</t>
    </r>
    <r>
      <rPr>
        <sz val="11"/>
        <color theme="1"/>
        <rFont val="Calibri"/>
        <family val="2"/>
        <scheme val="minor"/>
      </rPr>
      <t>,  Ingénierie des Systèmes d’Information (</t>
    </r>
    <r>
      <rPr>
        <b/>
        <sz val="12"/>
        <color theme="1"/>
        <rFont val="Calibri"/>
        <family val="2"/>
        <scheme val="minor"/>
      </rPr>
      <t>ISI)</t>
    </r>
    <r>
      <rPr>
        <sz val="11"/>
        <color theme="1"/>
        <rFont val="Calibri"/>
        <family val="2"/>
        <scheme val="minor"/>
      </rPr>
      <t>, Intelligence Artificielle et Sciences des Données (</t>
    </r>
    <r>
      <rPr>
        <b/>
        <sz val="12"/>
        <color theme="1"/>
        <rFont val="Calibri"/>
        <family val="2"/>
        <scheme val="minor"/>
      </rPr>
      <t>IASD</t>
    </r>
    <r>
      <rPr>
        <sz val="11"/>
        <color theme="1"/>
        <rFont val="Calibri"/>
        <family val="2"/>
        <scheme val="minor"/>
      </rPr>
      <t>)</t>
    </r>
  </si>
  <si>
    <r>
      <t>et  Networking, Système et Cybersécurité  (</t>
    </r>
    <r>
      <rPr>
        <b/>
        <sz val="12"/>
        <color theme="1"/>
        <rFont val="Calibri"/>
        <family val="2"/>
        <scheme val="minor"/>
      </rPr>
      <t>NSC)</t>
    </r>
  </si>
  <si>
    <r>
      <t>Master</t>
    </r>
    <r>
      <rPr>
        <sz val="12"/>
        <color rgb="FF222222"/>
        <rFont val="Calibri"/>
        <family val="2"/>
        <scheme val="minor"/>
      </rPr>
      <t> : Intelligence Artificielle (</t>
    </r>
    <r>
      <rPr>
        <b/>
        <sz val="14"/>
        <color rgb="FF222222"/>
        <rFont val="Calibri"/>
        <family val="2"/>
        <scheme val="minor"/>
      </rPr>
      <t>IA</t>
    </r>
    <r>
      <rPr>
        <sz val="12"/>
        <color rgb="FF222222"/>
        <rFont val="Calibri"/>
        <family val="2"/>
        <scheme val="minor"/>
      </rPr>
      <t xml:space="preserve">), Ingénierie des Systèmes d’Information </t>
    </r>
    <r>
      <rPr>
        <b/>
        <sz val="12"/>
        <color rgb="FF222222"/>
        <rFont val="Calibri"/>
        <family val="2"/>
        <scheme val="minor"/>
      </rPr>
      <t>(ISI</t>
    </r>
    <r>
      <rPr>
        <sz val="12"/>
        <color rgb="FF222222"/>
        <rFont val="Calibri"/>
        <family val="2"/>
        <scheme val="minor"/>
      </rPr>
      <t>)</t>
    </r>
  </si>
  <si>
    <r>
      <t>Troncs communs </t>
    </r>
    <r>
      <rPr>
        <sz val="12"/>
        <color rgb="FF222222"/>
        <rFont val="Calibri"/>
        <family val="2"/>
        <scheme val="minor"/>
      </rPr>
      <t>: Sciences Informatique (</t>
    </r>
    <r>
      <rPr>
        <b/>
        <sz val="12"/>
        <color rgb="FF222222"/>
        <rFont val="Calibri"/>
        <family val="2"/>
        <scheme val="minor"/>
      </rPr>
      <t>SINF</t>
    </r>
    <r>
      <rPr>
        <sz val="12"/>
        <color rgb="FF222222"/>
        <rFont val="Calibri"/>
        <family val="2"/>
        <scheme val="minor"/>
      </rPr>
      <t>), Informatique Appliquées (</t>
    </r>
    <r>
      <rPr>
        <b/>
        <sz val="12"/>
        <color rgb="FF222222"/>
        <rFont val="Calibri"/>
        <family val="2"/>
        <scheme val="minor"/>
      </rPr>
      <t>IAP</t>
    </r>
    <r>
      <rPr>
        <sz val="12"/>
        <color rgb="FF222222"/>
        <rFont val="Calibri"/>
        <family val="2"/>
        <scheme val="minor"/>
      </rPr>
      <t>)</t>
    </r>
  </si>
  <si>
    <t>Etblissement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</si>
</sst>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1"/>
      <color rgb="FFA20000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222222"/>
      <name val="Calibri"/>
      <family val="2"/>
      <scheme val="minor"/>
    </font>
    <font>
      <b/>
      <sz val="12"/>
      <color rgb="FF222222"/>
      <name val="Calibri"/>
      <family val="2"/>
      <scheme val="minor"/>
    </font>
    <font>
      <b/>
      <sz val="14"/>
      <color rgb="FF222222"/>
      <name val="Calibri"/>
      <family val="2"/>
      <scheme val="minor"/>
    </font>
    <font>
      <b/>
      <sz val="20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2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3" borderId="5" xfId="0" applyFill="1" applyBorder="1"/>
    <xf numFmtId="0" fontId="5" fillId="0" borderId="5" xfId="0" applyFont="1" applyBorder="1" applyAlignment="1">
      <alignment horizontal="center" vertical="center"/>
    </xf>
    <xf numFmtId="0" fontId="0" fillId="3" borderId="6" xfId="0" applyFill="1" applyBorder="1"/>
    <xf numFmtId="0" fontId="5" fillId="0" borderId="6" xfId="0" applyFont="1" applyBorder="1" applyAlignment="1">
      <alignment horizontal="center" vertical="center"/>
    </xf>
    <xf numFmtId="0" fontId="0" fillId="0" borderId="5" xfId="0" applyBorder="1"/>
    <xf numFmtId="0" fontId="0" fillId="3" borderId="6" xfId="0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5" xfId="0" applyFont="1" applyBorder="1"/>
    <xf numFmtId="0" fontId="8" fillId="0" borderId="6" xfId="0" applyFont="1" applyBorder="1"/>
    <xf numFmtId="0" fontId="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32</xdr:row>
      <xdr:rowOff>161926</xdr:rowOff>
    </xdr:from>
    <xdr:to>
      <xdr:col>13</xdr:col>
      <xdr:colOff>485775</xdr:colOff>
      <xdr:row>40</xdr:row>
      <xdr:rowOff>57150</xdr:rowOff>
    </xdr:to>
    <xdr:sp macro="" textlink="">
      <xdr:nvSpPr>
        <xdr:cNvPr id="3" name="ZoneTexte 1">
          <a:extLst>
            <a:ext uri="{FF2B5EF4-FFF2-40B4-BE49-F238E27FC236}">
              <a16:creationId xmlns:a16="http://schemas.microsoft.com/office/drawing/2014/main" id="{327C151D-CB1C-49F5-A826-94D0D6C3F586}"/>
            </a:ext>
          </a:extLst>
        </xdr:cNvPr>
        <xdr:cNvSpPr txBox="1"/>
      </xdr:nvSpPr>
      <xdr:spPr>
        <a:xfrm>
          <a:off x="390525" y="6305551"/>
          <a:ext cx="10086975" cy="13430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1"/>
          <a:r>
            <a:rPr lang="ar-M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بالنسبة لكليات العلوم والكليات المتعددة التخصصات: أعداد الطلبة المسجلين في الفصل الأول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S1</a:t>
          </a:r>
          <a:r>
            <a:rPr lang="ar-M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في المسالك المتخصصة في المعلوميات </a:t>
          </a:r>
          <a:r>
            <a:rPr lang="ar-M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منذ السنة الأولى </a:t>
          </a:r>
          <a:r>
            <a:rPr lang="ar-M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وعدد الطلبة المسجلين في الفصل الخامس</a:t>
          </a:r>
          <a:r>
            <a:rPr lang="ar-M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M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S5</a:t>
          </a:r>
          <a:r>
            <a:rPr lang="ar-M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ar-M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في جميع المسالك، بغض النظر عن الجذع المشترك.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1"/>
          <a:r>
            <a:rPr lang="ar-M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بالنسبة لدبلومات الإجازة في كليات العلوم والتقنيات والمدارس العليا للتكنولوجيا: مستوى التسجيل الفصل الخامس </a:t>
          </a:r>
          <a:r>
            <a:rPr lang="fr-M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S5</a:t>
          </a:r>
          <a:r>
            <a:rPr lang="ar-M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1"/>
          <a:r>
            <a:rPr lang="ar-M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بالنسبة لدبلومات الماستر: مستوى التسجيل السنة الأولى من الماستر </a:t>
          </a:r>
          <a:r>
            <a:rPr lang="fr-M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M1</a:t>
          </a:r>
          <a:r>
            <a:rPr lang="ar-M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1"/>
          <a:r>
            <a:rPr lang="ar-M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بالنسبة لدبلومات المهندس: مستوى التسجيل الفصل الخامس </a:t>
          </a:r>
          <a:r>
            <a:rPr lang="fr-M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S5</a:t>
          </a:r>
          <a:r>
            <a:rPr lang="ar-M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(بعد سلك الأقسام التحضيرية).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fr-FR" sz="1100"/>
        </a:p>
      </xdr:txBody>
    </xdr:sp>
    <xdr:clientData/>
  </xdr:twoCellAnchor>
  <xdr:twoCellAnchor editAs="oneCell">
    <xdr:from>
      <xdr:col>14</xdr:col>
      <xdr:colOff>952500</xdr:colOff>
      <xdr:row>0</xdr:row>
      <xdr:rowOff>57150</xdr:rowOff>
    </xdr:from>
    <xdr:to>
      <xdr:col>27</xdr:col>
      <xdr:colOff>163187</xdr:colOff>
      <xdr:row>30</xdr:row>
      <xdr:rowOff>172300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35741E1-B9D5-E3FF-57D5-80AD9D8A2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1350" y="57150"/>
          <a:ext cx="9040487" cy="6087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659152</xdr:colOff>
      <xdr:row>31</xdr:row>
      <xdr:rowOff>184932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14775156-B243-FB6A-5F72-B5DBF023A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41152" cy="6090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53FD-DD82-47EB-8D00-009419D3EF98}">
  <dimension ref="A2:N25"/>
  <sheetViews>
    <sheetView tabSelected="1" workbookViewId="0">
      <selection activeCell="Q34" sqref="Q34"/>
    </sheetView>
  </sheetViews>
  <sheetFormatPr baseColWidth="10" defaultColWidth="9" defaultRowHeight="15" x14ac:dyDescent="0.25"/>
  <cols>
    <col min="9" max="9" width="17.7109375" customWidth="1"/>
    <col min="11" max="11" width="14.42578125" customWidth="1"/>
    <col min="14" max="14" width="16.5703125" customWidth="1"/>
    <col min="15" max="15" width="18.7109375" customWidth="1"/>
    <col min="16" max="16" width="13" customWidth="1"/>
    <col min="17" max="17" width="18.5703125" customWidth="1"/>
    <col min="18" max="18" width="16.140625" customWidth="1"/>
  </cols>
  <sheetData>
    <row r="2" spans="1:14" ht="26.25" x14ac:dyDescent="0.25">
      <c r="A2" s="23" t="s">
        <v>16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6" spans="1:14" ht="36.75" customHeight="1" x14ac:dyDescent="0.25">
      <c r="B6" s="1" t="s">
        <v>6</v>
      </c>
      <c r="D6" s="24" t="s">
        <v>0</v>
      </c>
      <c r="E6" s="24"/>
      <c r="F6" s="24" t="s">
        <v>1</v>
      </c>
      <c r="G6" s="24"/>
      <c r="H6" s="24" t="s">
        <v>2</v>
      </c>
      <c r="I6" s="24"/>
      <c r="J6" s="24" t="s">
        <v>15</v>
      </c>
      <c r="K6" s="24"/>
      <c r="L6" s="25" t="s">
        <v>3</v>
      </c>
      <c r="M6" s="25" t="s">
        <v>14</v>
      </c>
      <c r="N6" s="25" t="s">
        <v>31</v>
      </c>
    </row>
    <row r="7" spans="1:14" ht="14.25" customHeight="1" thickBot="1" x14ac:dyDescent="0.3">
      <c r="B7" t="s">
        <v>7</v>
      </c>
      <c r="D7" s="2" t="s">
        <v>4</v>
      </c>
      <c r="E7" s="2" t="s">
        <v>5</v>
      </c>
      <c r="F7" s="2" t="s">
        <v>4</v>
      </c>
      <c r="G7" s="2" t="s">
        <v>5</v>
      </c>
      <c r="H7" s="2" t="s">
        <v>4</v>
      </c>
      <c r="I7" s="2" t="s">
        <v>5</v>
      </c>
      <c r="J7" s="2" t="s">
        <v>4</v>
      </c>
      <c r="K7" s="2" t="s">
        <v>5</v>
      </c>
      <c r="L7" s="26"/>
      <c r="M7" s="26"/>
      <c r="N7" s="27"/>
    </row>
    <row r="8" spans="1:14" ht="14.25" customHeight="1" x14ac:dyDescent="0.25">
      <c r="B8" t="s">
        <v>11</v>
      </c>
      <c r="D8" s="10"/>
      <c r="E8" s="10"/>
      <c r="F8" s="14">
        <v>113</v>
      </c>
      <c r="G8" s="14">
        <v>260</v>
      </c>
      <c r="H8" s="7">
        <v>120</v>
      </c>
      <c r="I8" s="7">
        <v>275</v>
      </c>
      <c r="J8" s="32">
        <f>F8+F9+F10+D11+D12+D13+D14</f>
        <v>113</v>
      </c>
      <c r="K8" s="32">
        <f>G8+G9+G10+E11+E12+E13+E14</f>
        <v>260</v>
      </c>
      <c r="L8" s="16" t="s">
        <v>17</v>
      </c>
      <c r="M8" s="35" t="s">
        <v>9</v>
      </c>
      <c r="N8" s="29" t="s">
        <v>24</v>
      </c>
    </row>
    <row r="9" spans="1:14" ht="14.25" customHeight="1" x14ac:dyDescent="0.25">
      <c r="B9" t="s">
        <v>8</v>
      </c>
      <c r="D9" s="3"/>
      <c r="E9" s="3"/>
      <c r="F9" s="4"/>
      <c r="G9" s="4"/>
      <c r="H9" s="5">
        <v>117</v>
      </c>
      <c r="I9" s="5">
        <v>250</v>
      </c>
      <c r="J9" s="33"/>
      <c r="K9" s="33"/>
      <c r="L9" s="17" t="s">
        <v>18</v>
      </c>
      <c r="M9" s="30"/>
      <c r="N9" s="30"/>
    </row>
    <row r="10" spans="1:14" ht="14.25" customHeight="1" x14ac:dyDescent="0.25">
      <c r="B10" t="s">
        <v>12</v>
      </c>
      <c r="D10" s="3"/>
      <c r="E10" s="3"/>
      <c r="F10" s="4"/>
      <c r="G10" s="4"/>
      <c r="H10" s="5">
        <v>95</v>
      </c>
      <c r="I10" s="5">
        <v>210</v>
      </c>
      <c r="J10" s="33"/>
      <c r="K10" s="33"/>
      <c r="L10" s="17" t="s">
        <v>23</v>
      </c>
      <c r="M10" s="30"/>
      <c r="N10" s="30"/>
    </row>
    <row r="11" spans="1:14" ht="14.25" customHeight="1" x14ac:dyDescent="0.25">
      <c r="B11" t="s">
        <v>13</v>
      </c>
      <c r="D11" s="3"/>
      <c r="E11" s="3"/>
      <c r="F11" s="4"/>
      <c r="G11" s="4"/>
      <c r="H11" s="5">
        <v>11</v>
      </c>
      <c r="I11" s="5">
        <v>35</v>
      </c>
      <c r="J11" s="33"/>
      <c r="K11" s="33"/>
      <c r="L11" s="18" t="s">
        <v>19</v>
      </c>
      <c r="M11" s="30"/>
      <c r="N11" s="30"/>
    </row>
    <row r="12" spans="1:14" ht="14.25" customHeight="1" x14ac:dyDescent="0.25">
      <c r="D12" s="3"/>
      <c r="E12" s="3"/>
      <c r="F12" s="4"/>
      <c r="G12" s="4"/>
      <c r="H12" s="5">
        <v>20</v>
      </c>
      <c r="I12" s="5">
        <v>34</v>
      </c>
      <c r="J12" s="33"/>
      <c r="K12" s="33"/>
      <c r="L12" s="18" t="s">
        <v>20</v>
      </c>
      <c r="M12" s="30"/>
      <c r="N12" s="30"/>
    </row>
    <row r="13" spans="1:14" ht="15.75" customHeight="1" x14ac:dyDescent="0.25">
      <c r="D13" s="3"/>
      <c r="E13" s="3"/>
      <c r="F13" s="4"/>
      <c r="G13" s="4"/>
      <c r="H13" s="5">
        <v>23</v>
      </c>
      <c r="I13" s="5">
        <v>41</v>
      </c>
      <c r="J13" s="33"/>
      <c r="K13" s="33"/>
      <c r="L13" s="18" t="s">
        <v>21</v>
      </c>
      <c r="M13" s="30"/>
      <c r="N13" s="30"/>
    </row>
    <row r="14" spans="1:14" ht="14.25" customHeight="1" thickBot="1" x14ac:dyDescent="0.3">
      <c r="D14" s="8"/>
      <c r="E14" s="8"/>
      <c r="F14" s="11"/>
      <c r="G14" s="11"/>
      <c r="H14" s="9">
        <v>52</v>
      </c>
      <c r="I14" s="9">
        <v>100</v>
      </c>
      <c r="J14" s="34"/>
      <c r="K14" s="34"/>
      <c r="L14" s="19" t="s">
        <v>22</v>
      </c>
      <c r="M14" s="36"/>
      <c r="N14" s="30"/>
    </row>
    <row r="15" spans="1:14" ht="14.25" customHeight="1" x14ac:dyDescent="0.25">
      <c r="D15" s="6"/>
      <c r="E15" s="6"/>
      <c r="F15" s="14">
        <v>10</v>
      </c>
      <c r="G15" s="14">
        <v>28</v>
      </c>
      <c r="H15" s="7">
        <v>34</v>
      </c>
      <c r="I15" s="7">
        <v>74</v>
      </c>
      <c r="J15" s="12">
        <v>10</v>
      </c>
      <c r="K15" s="12">
        <v>28</v>
      </c>
      <c r="L15" s="20" t="s">
        <v>25</v>
      </c>
      <c r="M15" s="37" t="s">
        <v>10</v>
      </c>
      <c r="N15" s="30"/>
    </row>
    <row r="16" spans="1:14" ht="14.25" customHeight="1" thickBot="1" x14ac:dyDescent="0.3">
      <c r="D16" s="8"/>
      <c r="E16" s="8"/>
      <c r="F16" s="15">
        <v>26</v>
      </c>
      <c r="G16" s="15">
        <v>45</v>
      </c>
      <c r="H16" s="9">
        <v>49</v>
      </c>
      <c r="I16" s="9">
        <v>81</v>
      </c>
      <c r="J16" s="13">
        <v>26</v>
      </c>
      <c r="K16" s="13">
        <v>45</v>
      </c>
      <c r="L16" s="21" t="s">
        <v>26</v>
      </c>
      <c r="M16" s="38"/>
      <c r="N16" s="31"/>
    </row>
    <row r="17" spans="3:9" ht="14.25" customHeight="1" x14ac:dyDescent="0.25"/>
    <row r="18" spans="3:9" ht="14.25" customHeight="1" x14ac:dyDescent="0.25"/>
    <row r="19" spans="3:9" ht="14.25" customHeight="1" x14ac:dyDescent="0.25"/>
    <row r="20" spans="3:9" ht="14.25" customHeight="1" x14ac:dyDescent="0.25">
      <c r="C20" s="22" t="s">
        <v>27</v>
      </c>
    </row>
    <row r="21" spans="3:9" ht="14.25" customHeight="1" x14ac:dyDescent="0.25">
      <c r="C21" t="s">
        <v>28</v>
      </c>
    </row>
    <row r="22" spans="3:9" ht="14.25" customHeight="1" x14ac:dyDescent="0.25"/>
    <row r="23" spans="3:9" ht="14.25" customHeight="1" x14ac:dyDescent="0.25">
      <c r="C23" s="28" t="s">
        <v>29</v>
      </c>
      <c r="D23" s="28"/>
      <c r="E23" s="28"/>
      <c r="F23" s="28"/>
      <c r="G23" s="28"/>
      <c r="H23" s="28"/>
      <c r="I23" s="28"/>
    </row>
    <row r="24" spans="3:9" ht="14.25" customHeight="1" x14ac:dyDescent="0.25"/>
    <row r="25" spans="3:9" ht="14.25" customHeight="1" x14ac:dyDescent="0.25">
      <c r="C25" s="28" t="s">
        <v>30</v>
      </c>
      <c r="D25" s="28"/>
      <c r="E25" s="28"/>
      <c r="F25" s="28"/>
      <c r="G25" s="28"/>
      <c r="H25" s="28"/>
      <c r="I25" s="28"/>
    </row>
  </sheetData>
  <mergeCells count="15">
    <mergeCell ref="C25:I25"/>
    <mergeCell ref="N8:N16"/>
    <mergeCell ref="J8:J14"/>
    <mergeCell ref="C23:I23"/>
    <mergeCell ref="M8:M14"/>
    <mergeCell ref="M15:M16"/>
    <mergeCell ref="K8:K14"/>
    <mergeCell ref="A2:N2"/>
    <mergeCell ref="H6:I6"/>
    <mergeCell ref="M6:M7"/>
    <mergeCell ref="N6:N7"/>
    <mergeCell ref="D6:E6"/>
    <mergeCell ref="F6:G6"/>
    <mergeCell ref="L6:L7"/>
    <mergeCell ref="J6:K6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F391-DB9A-4B0F-8816-0C72709F6CFE}">
  <dimension ref="A1"/>
  <sheetViews>
    <sheetView workbookViewId="0">
      <selection activeCell="O19" sqref="O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cp:lastPrinted>2025-11-12T08:54:36Z</cp:lastPrinted>
  <dcterms:created xsi:type="dcterms:W3CDTF">2025-10-28T09:45:37Z</dcterms:created>
  <dcterms:modified xsi:type="dcterms:W3CDTF">2026-02-26T08:36:43Z</dcterms:modified>
</cp:coreProperties>
</file>